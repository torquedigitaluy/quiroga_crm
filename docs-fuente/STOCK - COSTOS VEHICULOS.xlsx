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 SIN DATOS" sheetId="1" r:id="rId4"/>
    <sheet state="visible" name="PEUGEOT 208 ACTIVE SBY3022" sheetId="2" r:id="rId5"/>
    <sheet state="hidden" name="MAZDA 3 SCV8791" sheetId="3" r:id="rId6"/>
    <sheet state="visible" name="FIAT FIORINO ABJ 2305" sheetId="4" r:id="rId7"/>
    <sheet state="visible" name="CHEVROLET AGILE B711604 " sheetId="5" r:id="rId8"/>
    <sheet state="visible" name="GEELY EMGRAD " sheetId="6" r:id="rId9"/>
    <sheet state="hidden" name="CHEVROLET TRAKER " sheetId="7" r:id="rId10"/>
    <sheet state="visible" name="CHEVROLET AVEO CAB2257 " sheetId="8" r:id="rId11"/>
    <sheet state="visible" name="CHEVROLET JOY" sheetId="9" r:id="rId12"/>
    <sheet state="visible" name="RENAULT MEGAN DIESEL " sheetId="10" r:id="rId13"/>
    <sheet state="visible" name="PEUGEOT 208 ALLURE " sheetId="11" r:id="rId14"/>
  </sheets>
  <definedNames/>
  <calcPr/>
  <extLst>
    <ext uri="GoogleSheetsCustomDataVersion2">
      <go:sheetsCustomData xmlns:go="http://customooxmlschemas.google.com/" r:id="rId15" roundtripDataChecksum="l8vCUqCvXzkAJLEgw6NPBCGC+tDZd754fKSFF8tYPNA="/>
    </ext>
  </extLst>
</workbook>
</file>

<file path=xl/sharedStrings.xml><?xml version="1.0" encoding="utf-8"?>
<sst xmlns="http://schemas.openxmlformats.org/spreadsheetml/2006/main" count="288" uniqueCount="65">
  <si>
    <t xml:space="preserve">COSTO VEHICULOS </t>
  </si>
  <si>
    <t>DOLAR</t>
  </si>
  <si>
    <t>VEHICULO</t>
  </si>
  <si>
    <t>AÑO</t>
  </si>
  <si>
    <t>PROPIETARIO</t>
  </si>
  <si>
    <t>MATRICULA</t>
  </si>
  <si>
    <t>FECHA COMPRA</t>
  </si>
  <si>
    <t>FECHA PUBLIC</t>
  </si>
  <si>
    <t>PRECIO DE COMPRA</t>
  </si>
  <si>
    <t>FECHA VENTA</t>
  </si>
  <si>
    <t>TOTAL DE GASTOS</t>
  </si>
  <si>
    <t>COSTO TOTAL</t>
  </si>
  <si>
    <t>GANANCIA IDEA 15%</t>
  </si>
  <si>
    <t>VALOR DE PATENTE</t>
  </si>
  <si>
    <t>CANT PAGAS</t>
  </si>
  <si>
    <t>PRECIO DE VENTA INICIAL</t>
  </si>
  <si>
    <t>PRECIO DE VENTA</t>
  </si>
  <si>
    <t>GANANCIA FINAL</t>
  </si>
  <si>
    <t>DETALLE DE GASTOS</t>
  </si>
  <si>
    <t xml:space="preserve">USD </t>
  </si>
  <si>
    <t>$$</t>
  </si>
  <si>
    <t>ESCRIBANIA</t>
  </si>
  <si>
    <t xml:space="preserve">COMISION QUIROGA AUTOMOVILES </t>
  </si>
  <si>
    <t>PEUGEOT 208 ACTIVE</t>
  </si>
  <si>
    <t>JORGE</t>
  </si>
  <si>
    <t>SBY3022</t>
  </si>
  <si>
    <t>PRECIO DE VENTA IDEAL</t>
  </si>
  <si>
    <t>PRECIO DE VENTA REAL</t>
  </si>
  <si>
    <t>GANANCIA REAL</t>
  </si>
  <si>
    <t>COMISION 3697</t>
  </si>
  <si>
    <t>RADIO MULTIMEDIA Y CAMARA</t>
  </si>
  <si>
    <t>VOLANTE</t>
  </si>
  <si>
    <t>BOLLERO</t>
  </si>
  <si>
    <t>MAZDA 3</t>
  </si>
  <si>
    <t>MAXI, JORGE</t>
  </si>
  <si>
    <t>SCV8791</t>
  </si>
  <si>
    <t>POLARIZADO LUNETA</t>
  </si>
  <si>
    <t>FIAT FIORINO FORTE</t>
  </si>
  <si>
    <t>ABJ2305</t>
  </si>
  <si>
    <t>OJOS DE GATO</t>
  </si>
  <si>
    <t xml:space="preserve">CHEVROLET AGILE </t>
  </si>
  <si>
    <t>B711604</t>
  </si>
  <si>
    <t xml:space="preserve">COMISION LOCAL </t>
  </si>
  <si>
    <t xml:space="preserve">PERILLA PALANCA </t>
  </si>
  <si>
    <t xml:space="preserve">MOVIMIENTO CAJA DE CAMBIO </t>
  </si>
  <si>
    <t>GEELY EMGRAND SEDAN EC7</t>
  </si>
  <si>
    <t>SCJ4721</t>
  </si>
  <si>
    <t>REPUESTOS EN YAGUARON</t>
  </si>
  <si>
    <t xml:space="preserve">CEHVROLET TRAKER </t>
  </si>
  <si>
    <t>SCV 1676</t>
  </si>
  <si>
    <t xml:space="preserve">POLARIZADOS </t>
  </si>
  <si>
    <t xml:space="preserve">COMISION QUIRIGA AUTOMOVILES </t>
  </si>
  <si>
    <t xml:space="preserve">CHAPA Y PINTURA </t>
  </si>
  <si>
    <t xml:space="preserve">REPUESTOS YAGUARON </t>
  </si>
  <si>
    <t xml:space="preserve">REPUESTOS YAGUARON - KIT DE LEVAS Y CONECTOR AJUSTES CABLE DE CACA </t>
  </si>
  <si>
    <t xml:space="preserve">CYMACO - LUBRICANTE Y FILTRO </t>
  </si>
  <si>
    <t xml:space="preserve">ELECTRICISTA </t>
  </si>
  <si>
    <t xml:space="preserve">REPUESTO YAGUSRON </t>
  </si>
  <si>
    <t xml:space="preserve">CHEVROLET JOY </t>
  </si>
  <si>
    <t>JORGE - PEPE</t>
  </si>
  <si>
    <t>AAX 8386</t>
  </si>
  <si>
    <t>RENAULT MEGAN RXE</t>
  </si>
  <si>
    <t>SBP 8219</t>
  </si>
  <si>
    <t xml:space="preserve">BARTL CUBIERTAS TRACERAS </t>
  </si>
  <si>
    <t xml:space="preserve">CYMACO - BULVO TEMPERATURA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</si>
</sst>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d&quot;-&quot;mmm&quot;-&quot;yyyy"/>
    <numFmt numFmtId="166" formatCode="[$USD $]#,##0.00"/>
  </numFmts>
  <fonts count="15">
    <font>
      <sz val="10.0"/>
      <color rgb="FF000000"/>
      <name val="Arial"/>
      <scheme val="minor"/>
    </font>
    <font>
      <b/>
      <sz val="17.0"/>
      <color rgb="FFFFFFFF"/>
      <name val="Lexend"/>
    </font>
    <font>
      <color theme="1"/>
      <name val="Arial"/>
    </font>
    <font>
      <b/>
      <color theme="1"/>
      <name val="Lexend"/>
    </font>
    <font/>
    <font>
      <color theme="1"/>
      <name val="Lexend"/>
    </font>
    <font>
      <b/>
      <sz val="8.0"/>
      <color theme="1"/>
      <name val="Arial"/>
    </font>
    <font>
      <sz val="8.0"/>
      <color theme="1"/>
      <name val="Arial"/>
    </font>
    <font>
      <b/>
      <color theme="1"/>
      <name val="Arial"/>
    </font>
    <font>
      <sz val="6.0"/>
      <color rgb="FFB7B7B7"/>
      <name val="Arial"/>
    </font>
    <font>
      <sz val="8.0"/>
      <color rgb="FFB7B7B7"/>
      <name val="Arial"/>
    </font>
    <font>
      <b/>
      <sz val="11.0"/>
      <color theme="1"/>
      <name val="Arial"/>
    </font>
    <font>
      <b/>
      <color rgb="FFFFFFFF"/>
      <name val="Arial"/>
    </font>
    <font>
      <b/>
      <sz val="17.0"/>
      <color rgb="FFCC0000"/>
      <name val="Lexend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0" fontId="2" numFmtId="0" xfId="0" applyBorder="1" applyFont="1"/>
    <xf borderId="1" fillId="2" fontId="2" numFmtId="164" xfId="0" applyBorder="1" applyFont="1" applyNumberFormat="1"/>
    <xf borderId="1" fillId="0" fontId="3" numFmtId="0" xfId="0" applyBorder="1" applyFont="1"/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center"/>
    </xf>
    <xf borderId="2" fillId="0" fontId="5" numFmtId="165" xfId="0" applyAlignment="1" applyBorder="1" applyFont="1" applyNumberFormat="1">
      <alignment horizontal="center"/>
    </xf>
    <xf borderId="5" fillId="0" fontId="6" numFmtId="0" xfId="0" applyBorder="1" applyFont="1"/>
    <xf borderId="5" fillId="0" fontId="7" numFmtId="166" xfId="0" applyBorder="1" applyFont="1" applyNumberFormat="1"/>
    <xf borderId="5" fillId="0" fontId="8" numFmtId="0" xfId="0" applyBorder="1" applyFont="1"/>
    <xf borderId="5" fillId="0" fontId="8" numFmtId="166" xfId="0" applyBorder="1" applyFont="1" applyNumberFormat="1"/>
    <xf borderId="0" fillId="0" fontId="9" numFmtId="0" xfId="0" applyFont="1"/>
    <xf borderId="0" fillId="0" fontId="9" numFmtId="166" xfId="0" applyFont="1" applyNumberFormat="1"/>
    <xf borderId="0" fillId="0" fontId="9" numFmtId="164" xfId="0" applyFont="1" applyNumberFormat="1"/>
    <xf borderId="0" fillId="3" fontId="10" numFmtId="166" xfId="0" applyFill="1" applyFont="1" applyNumberFormat="1"/>
    <xf borderId="0" fillId="3" fontId="10" numFmtId="164" xfId="0" applyFont="1" applyNumberFormat="1"/>
    <xf borderId="6" fillId="0" fontId="11" numFmtId="0" xfId="0" applyBorder="1" applyFont="1"/>
    <xf borderId="7" fillId="0" fontId="4" numFmtId="0" xfId="0" applyBorder="1" applyFont="1"/>
    <xf borderId="8" fillId="0" fontId="4" numFmtId="0" xfId="0" applyBorder="1" applyFont="1"/>
    <xf borderId="5" fillId="0" fontId="11" numFmtId="0" xfId="0" applyBorder="1" applyFont="1"/>
    <xf borderId="0" fillId="0" fontId="2" numFmtId="0" xfId="0" applyFont="1"/>
    <xf borderId="9" fillId="0" fontId="2" numFmtId="166" xfId="0" applyBorder="1" applyFont="1" applyNumberFormat="1"/>
    <xf borderId="10" fillId="0" fontId="2" numFmtId="164" xfId="0" applyBorder="1" applyFont="1" applyNumberFormat="1"/>
    <xf borderId="0" fillId="0" fontId="2" numFmtId="0" xfId="0" applyAlignment="1" applyFont="1">
      <alignment readingOrder="0"/>
    </xf>
    <xf borderId="11" fillId="0" fontId="2" numFmtId="0" xfId="0" applyBorder="1" applyFont="1"/>
    <xf borderId="11" fillId="0" fontId="4" numFmtId="0" xfId="0" applyBorder="1" applyFont="1"/>
    <xf borderId="12" fillId="0" fontId="2" numFmtId="166" xfId="0" applyBorder="1" applyFont="1" applyNumberFormat="1"/>
    <xf borderId="13" fillId="0" fontId="2" numFmtId="164" xfId="0" applyBorder="1" applyFont="1" applyNumberFormat="1"/>
    <xf borderId="1" fillId="2" fontId="12" numFmtId="0" xfId="0" applyAlignment="1" applyBorder="1" applyFont="1">
      <alignment horizontal="center" vertical="center"/>
    </xf>
    <xf borderId="1" fillId="2" fontId="1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readingOrder="0"/>
    </xf>
    <xf borderId="0" fillId="4" fontId="13" numFmtId="0" xfId="0" applyAlignment="1" applyFill="1" applyFont="1">
      <alignment horizontal="center" vertical="center"/>
    </xf>
    <xf borderId="1" fillId="5" fontId="2" numFmtId="164" xfId="0" applyBorder="1" applyFill="1" applyFont="1" applyNumberForma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2" fillId="0" fontId="5" numFmtId="165" xfId="0" applyAlignment="1" applyBorder="1" applyFont="1" applyNumberFormat="1">
      <alignment horizontal="center" readingOrder="0"/>
    </xf>
    <xf borderId="5" fillId="0" fontId="7" numFmtId="166" xfId="0" applyAlignment="1" applyBorder="1" applyFont="1" applyNumberFormat="1">
      <alignment readingOrder="0"/>
    </xf>
    <xf borderId="5" fillId="0" fontId="8" numFmtId="166" xfId="0" applyAlignment="1" applyBorder="1" applyFont="1" applyNumberFormat="1">
      <alignment readingOrder="0"/>
    </xf>
    <xf borderId="9" fillId="0" fontId="2" numFmtId="166" xfId="0" applyAlignment="1" applyBorder="1" applyFont="1" applyNumberFormat="1">
      <alignment readingOrder="0"/>
    </xf>
    <xf borderId="0" fillId="0" fontId="14" numFmtId="0" xfId="0" applyAlignment="1" applyFont="1">
      <alignment readingOrder="0"/>
    </xf>
    <xf borderId="2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0" fillId="6" fontId="2" numFmtId="0" xfId="0" applyAlignment="1" applyFill="1" applyFont="1">
      <alignment horizontal="left" vertical="center"/>
    </xf>
    <xf borderId="4" fillId="0" fontId="2" numFmtId="0" xfId="0" applyAlignment="1" applyBorder="1" applyFont="1">
      <alignment horizontal="center"/>
    </xf>
    <xf borderId="2" fillId="0" fontId="5" numFmtId="0" xfId="0" applyAlignment="1" applyBorder="1" applyFont="1">
      <alignment horizontal="center" readingOrder="0"/>
    </xf>
    <xf borderId="10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4" width="12.63"/>
    <col customWidth="1" min="5" max="5" width="14.63"/>
    <col customWidth="1" min="6" max="6" width="12.63"/>
  </cols>
  <sheetData>
    <row r="1" ht="15.75" customHeight="1">
      <c r="A1" s="1" t="s">
        <v>0</v>
      </c>
    </row>
    <row r="2" ht="15.75" customHeight="1">
      <c r="F2" s="2" t="s">
        <v>1</v>
      </c>
      <c r="G2" s="3">
        <v>40.5</v>
      </c>
    </row>
    <row r="3" ht="15.75" customHeight="1">
      <c r="A3" s="4" t="s">
        <v>2</v>
      </c>
      <c r="B3" s="5"/>
      <c r="C3" s="6"/>
      <c r="D3" s="6"/>
      <c r="E3" s="7"/>
    </row>
    <row r="4" ht="15.75" customHeight="1">
      <c r="A4" s="4" t="s">
        <v>3</v>
      </c>
      <c r="B4" s="2"/>
      <c r="E4" s="4" t="s">
        <v>4</v>
      </c>
      <c r="F4" s="5"/>
      <c r="G4" s="7"/>
    </row>
    <row r="5" ht="15.75" customHeight="1">
      <c r="A5" s="4" t="s">
        <v>5</v>
      </c>
      <c r="B5" s="8"/>
      <c r="C5" s="7"/>
      <c r="E5" s="4" t="s">
        <v>6</v>
      </c>
      <c r="F5" s="9"/>
      <c r="G5" s="7"/>
    </row>
    <row r="6" ht="15.75" customHeight="1">
      <c r="E6" s="4" t="s">
        <v>7</v>
      </c>
      <c r="F6" s="9"/>
      <c r="G6" s="7"/>
    </row>
    <row r="7" ht="15.75" customHeight="1">
      <c r="A7" s="10" t="s">
        <v>8</v>
      </c>
      <c r="B7" s="11">
        <v>0.0</v>
      </c>
      <c r="E7" s="4" t="s">
        <v>9</v>
      </c>
      <c r="F7" s="9"/>
      <c r="G7" s="7"/>
    </row>
    <row r="8" ht="15.75" customHeight="1">
      <c r="A8" s="10" t="s">
        <v>10</v>
      </c>
      <c r="B8" s="11">
        <f>SUM(G17+(H17/G2)+(E11/G2))</f>
        <v>623.4567901</v>
      </c>
    </row>
    <row r="9" ht="15.75" customHeight="1">
      <c r="A9" s="12" t="s">
        <v>11</v>
      </c>
      <c r="B9" s="13">
        <f>B7+B8</f>
        <v>623.4567901</v>
      </c>
    </row>
    <row r="10" ht="13.5" customHeight="1">
      <c r="A10" s="14" t="s">
        <v>12</v>
      </c>
      <c r="B10" s="15">
        <f>B9*0.15</f>
        <v>93.51851852</v>
      </c>
    </row>
    <row r="11" ht="12.75" customHeight="1">
      <c r="A11" s="14" t="s">
        <v>13</v>
      </c>
      <c r="B11" s="16"/>
      <c r="C11" s="14" t="s">
        <v>14</v>
      </c>
      <c r="D11" s="14"/>
      <c r="E11" s="16">
        <f>B11*D11</f>
        <v>0</v>
      </c>
    </row>
    <row r="12" ht="12.75" customHeight="1">
      <c r="A12" s="14" t="s">
        <v>15</v>
      </c>
      <c r="B12" s="15">
        <v>10290.0</v>
      </c>
    </row>
    <row r="13" ht="15.75" customHeight="1">
      <c r="A13" s="12" t="s">
        <v>16</v>
      </c>
      <c r="B13" s="13">
        <v>0.0</v>
      </c>
    </row>
    <row r="14" ht="15.75" customHeight="1"/>
    <row r="15" ht="15.75" customHeight="1">
      <c r="A15" s="12" t="s">
        <v>17</v>
      </c>
      <c r="B15" s="13">
        <f>B13-B9</f>
        <v>-623.4567901</v>
      </c>
    </row>
    <row r="16" ht="15.75" customHeight="1"/>
    <row r="17" ht="15.75" customHeight="1">
      <c r="G17" s="17">
        <f t="shared" ref="G17:H17" si="1">SUM(G19:G34)</f>
        <v>500</v>
      </c>
      <c r="H17" s="18">
        <f t="shared" si="1"/>
        <v>5000</v>
      </c>
    </row>
    <row r="18" ht="15.75" customHeight="1">
      <c r="A18" s="19" t="s">
        <v>18</v>
      </c>
      <c r="B18" s="20"/>
      <c r="C18" s="20"/>
      <c r="D18" s="20"/>
      <c r="E18" s="20"/>
      <c r="F18" s="21"/>
      <c r="G18" s="22" t="s">
        <v>19</v>
      </c>
      <c r="H18" s="22" t="s">
        <v>20</v>
      </c>
    </row>
    <row r="19" ht="15.75" customHeight="1">
      <c r="A19" s="23" t="s">
        <v>21</v>
      </c>
      <c r="G19" s="24"/>
      <c r="H19" s="25">
        <v>5000.0</v>
      </c>
    </row>
    <row r="20" ht="15.75" customHeight="1">
      <c r="A20" s="26" t="s">
        <v>22</v>
      </c>
      <c r="G20" s="24">
        <v>500.0</v>
      </c>
      <c r="H20" s="25"/>
    </row>
    <row r="21" ht="15.75" customHeight="1">
      <c r="G21" s="24"/>
      <c r="H21" s="25"/>
    </row>
    <row r="22" ht="15.75" customHeight="1">
      <c r="G22" s="24"/>
      <c r="H22" s="25"/>
    </row>
    <row r="23" ht="15.75" customHeight="1">
      <c r="G23" s="24"/>
      <c r="H23" s="25"/>
    </row>
    <row r="24" ht="15.75" customHeight="1">
      <c r="G24" s="24"/>
      <c r="H24" s="25"/>
    </row>
    <row r="25" ht="15.75" customHeight="1">
      <c r="G25" s="24"/>
      <c r="H25" s="25"/>
    </row>
    <row r="26" ht="15.75" customHeight="1">
      <c r="G26" s="24"/>
      <c r="H26" s="25"/>
    </row>
    <row r="27" ht="15.75" customHeight="1">
      <c r="G27" s="24"/>
      <c r="H27" s="25"/>
    </row>
    <row r="28" ht="15.75" customHeight="1">
      <c r="G28" s="24"/>
      <c r="H28" s="25"/>
    </row>
    <row r="29" ht="15.75" customHeight="1">
      <c r="G29" s="24"/>
      <c r="H29" s="25"/>
    </row>
    <row r="30" ht="15.75" customHeight="1">
      <c r="G30" s="24"/>
      <c r="H30" s="25"/>
    </row>
    <row r="31" ht="15.75" customHeight="1">
      <c r="G31" s="24"/>
      <c r="H31" s="25"/>
    </row>
    <row r="32" ht="15.75" customHeight="1">
      <c r="G32" s="24"/>
      <c r="H32" s="25"/>
    </row>
    <row r="33" ht="15.75" customHeight="1">
      <c r="G33" s="24"/>
      <c r="H33" s="25"/>
    </row>
    <row r="34" ht="15.75" customHeight="1">
      <c r="A34" s="27"/>
      <c r="B34" s="28"/>
      <c r="C34" s="28"/>
      <c r="D34" s="28"/>
      <c r="E34" s="28"/>
      <c r="F34" s="28"/>
      <c r="G34" s="29"/>
      <c r="H34" s="3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C1"/>
    <mergeCell ref="B3:E3"/>
    <mergeCell ref="F4:G4"/>
    <mergeCell ref="B5:C5"/>
    <mergeCell ref="F5:G5"/>
    <mergeCell ref="F6:G6"/>
    <mergeCell ref="F7:G7"/>
    <mergeCell ref="A18:F18"/>
    <mergeCell ref="A19:F19"/>
    <mergeCell ref="A20:F20"/>
    <mergeCell ref="A21:F21"/>
    <mergeCell ref="A22:F22"/>
    <mergeCell ref="A23:F23"/>
    <mergeCell ref="A24:F24"/>
    <mergeCell ref="A32:F32"/>
    <mergeCell ref="A33:F33"/>
    <mergeCell ref="A34:F34"/>
    <mergeCell ref="A25:F25"/>
    <mergeCell ref="A26:F26"/>
    <mergeCell ref="A27:F27"/>
    <mergeCell ref="A28:F28"/>
    <mergeCell ref="A29:F29"/>
    <mergeCell ref="A30:F30"/>
    <mergeCell ref="A31:F31"/>
  </mergeCells>
  <dataValidations>
    <dataValidation type="list" allowBlank="1" showErrorMessage="1" sqref="F4">
      <formula1>"JORGE"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4" width="12.63"/>
    <col customWidth="1" min="5" max="5" width="14.63"/>
    <col customWidth="1" min="6" max="6" width="12.63"/>
  </cols>
  <sheetData>
    <row r="1" ht="15.75" customHeight="1">
      <c r="A1" s="1" t="s">
        <v>0</v>
      </c>
    </row>
    <row r="2" ht="15.75" customHeight="1">
      <c r="F2" s="31" t="s">
        <v>1</v>
      </c>
      <c r="G2" s="32">
        <v>40.5</v>
      </c>
    </row>
    <row r="3" ht="15.75" customHeight="1">
      <c r="A3" s="4" t="s">
        <v>2</v>
      </c>
      <c r="B3" s="5" t="s">
        <v>23</v>
      </c>
      <c r="C3" s="6"/>
      <c r="D3" s="6"/>
      <c r="E3" s="7"/>
    </row>
    <row r="4" ht="15.75" customHeight="1">
      <c r="A4" s="4" t="s">
        <v>3</v>
      </c>
      <c r="B4" s="2">
        <v>2015.0</v>
      </c>
      <c r="E4" s="4" t="s">
        <v>4</v>
      </c>
      <c r="F4" s="33" t="s">
        <v>24</v>
      </c>
      <c r="G4" s="7"/>
    </row>
    <row r="5" ht="15.75" customHeight="1">
      <c r="A5" s="4" t="s">
        <v>5</v>
      </c>
      <c r="B5" s="8" t="s">
        <v>25</v>
      </c>
      <c r="C5" s="7"/>
      <c r="E5" s="4" t="s">
        <v>6</v>
      </c>
      <c r="F5" s="9">
        <v>45982.0</v>
      </c>
      <c r="G5" s="7"/>
    </row>
    <row r="6" ht="15.75" customHeight="1">
      <c r="E6" s="4" t="s">
        <v>7</v>
      </c>
      <c r="F6" s="9"/>
      <c r="G6" s="7"/>
    </row>
    <row r="7" ht="15.75" customHeight="1">
      <c r="A7" s="10" t="s">
        <v>8</v>
      </c>
      <c r="B7" s="11">
        <v>7700.0</v>
      </c>
      <c r="E7" s="4" t="s">
        <v>9</v>
      </c>
      <c r="F7" s="9"/>
      <c r="G7" s="7"/>
    </row>
    <row r="8" ht="15.75" customHeight="1">
      <c r="A8" s="10" t="s">
        <v>10</v>
      </c>
      <c r="B8" s="11">
        <f>SUM(G16+(H16/G2))</f>
        <v>882.7160494</v>
      </c>
    </row>
    <row r="9" ht="15.75" customHeight="1">
      <c r="A9" s="12" t="s">
        <v>11</v>
      </c>
      <c r="B9" s="13">
        <f>B7+B8</f>
        <v>8582.716049</v>
      </c>
    </row>
    <row r="10" ht="13.5" customHeight="1">
      <c r="A10" s="14" t="s">
        <v>12</v>
      </c>
      <c r="B10" s="15">
        <f>B9*0.15</f>
        <v>1287.407407</v>
      </c>
    </row>
    <row r="11" ht="12.75" customHeight="1">
      <c r="A11" s="14" t="s">
        <v>26</v>
      </c>
      <c r="B11" s="15">
        <v>10290.0</v>
      </c>
    </row>
    <row r="12" ht="15.75" customHeight="1">
      <c r="A12" s="12" t="s">
        <v>27</v>
      </c>
      <c r="B12" s="13">
        <v>9900.0</v>
      </c>
    </row>
    <row r="13" ht="15.75" customHeight="1"/>
    <row r="14" ht="15.75" customHeight="1">
      <c r="A14" s="12" t="s">
        <v>28</v>
      </c>
      <c r="B14" s="13">
        <f>B12-B9</f>
        <v>1317.283951</v>
      </c>
    </row>
    <row r="15" ht="15.75" customHeight="1"/>
    <row r="16" ht="15.75" customHeight="1">
      <c r="G16" s="17">
        <f t="shared" ref="G16:H16" si="1">SUM(G18:G33)</f>
        <v>500</v>
      </c>
      <c r="H16" s="18">
        <f t="shared" si="1"/>
        <v>15500</v>
      </c>
    </row>
    <row r="17" ht="15.75" customHeight="1">
      <c r="A17" s="19" t="s">
        <v>18</v>
      </c>
      <c r="B17" s="20"/>
      <c r="C17" s="20"/>
      <c r="D17" s="20"/>
      <c r="E17" s="20"/>
      <c r="F17" s="21"/>
      <c r="G17" s="22" t="s">
        <v>19</v>
      </c>
      <c r="H17" s="22" t="s">
        <v>20</v>
      </c>
    </row>
    <row r="18" ht="15.75" customHeight="1">
      <c r="A18" s="23" t="s">
        <v>21</v>
      </c>
      <c r="G18" s="24"/>
      <c r="H18" s="25">
        <v>5000.0</v>
      </c>
    </row>
    <row r="19" ht="15.75" customHeight="1">
      <c r="A19" s="23" t="s">
        <v>29</v>
      </c>
      <c r="G19" s="24">
        <v>500.0</v>
      </c>
      <c r="H19" s="25"/>
    </row>
    <row r="20" ht="15.75" customHeight="1">
      <c r="A20" s="23" t="s">
        <v>30</v>
      </c>
      <c r="G20" s="24"/>
      <c r="H20" s="25">
        <v>6500.0</v>
      </c>
    </row>
    <row r="21" ht="15.75" customHeight="1">
      <c r="A21" s="23" t="s">
        <v>31</v>
      </c>
      <c r="G21" s="24"/>
      <c r="H21" s="25">
        <v>4000.0</v>
      </c>
    </row>
    <row r="22" ht="15.75" customHeight="1">
      <c r="A22" s="23" t="s">
        <v>32</v>
      </c>
      <c r="G22" s="24"/>
      <c r="H22" s="25"/>
    </row>
    <row r="23" ht="15.75" customHeight="1">
      <c r="G23" s="24"/>
      <c r="H23" s="25"/>
    </row>
    <row r="24" ht="15.75" customHeight="1">
      <c r="G24" s="24"/>
      <c r="H24" s="25"/>
    </row>
    <row r="25" ht="15.75" customHeight="1">
      <c r="G25" s="24"/>
      <c r="H25" s="25"/>
    </row>
    <row r="26" ht="15.75" customHeight="1">
      <c r="G26" s="24"/>
      <c r="H26" s="25"/>
    </row>
    <row r="27" ht="15.75" customHeight="1">
      <c r="G27" s="24"/>
      <c r="H27" s="25"/>
    </row>
    <row r="28" ht="15.75" customHeight="1">
      <c r="G28" s="24"/>
      <c r="H28" s="25"/>
    </row>
    <row r="29" ht="15.75" customHeight="1">
      <c r="G29" s="24"/>
      <c r="H29" s="25"/>
    </row>
    <row r="30" ht="15.75" customHeight="1">
      <c r="G30" s="24"/>
      <c r="H30" s="25"/>
    </row>
    <row r="31" ht="15.75" customHeight="1">
      <c r="G31" s="24"/>
      <c r="H31" s="25"/>
    </row>
    <row r="32" ht="15.75" customHeight="1">
      <c r="G32" s="24"/>
      <c r="H32" s="25"/>
    </row>
    <row r="33" ht="15.75" customHeight="1">
      <c r="A33" s="27"/>
      <c r="B33" s="28"/>
      <c r="C33" s="28"/>
      <c r="D33" s="28"/>
      <c r="E33" s="28"/>
      <c r="F33" s="28"/>
      <c r="G33" s="29"/>
      <c r="H33" s="3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C1"/>
    <mergeCell ref="B3:E3"/>
    <mergeCell ref="F4:G4"/>
    <mergeCell ref="B5:C5"/>
    <mergeCell ref="F5:G5"/>
    <mergeCell ref="F6:G6"/>
    <mergeCell ref="F7:G7"/>
    <mergeCell ref="A17:F17"/>
    <mergeCell ref="A18:F18"/>
    <mergeCell ref="A19:F19"/>
    <mergeCell ref="A20:F20"/>
    <mergeCell ref="A21:F21"/>
    <mergeCell ref="A22:F22"/>
    <mergeCell ref="A23:F23"/>
    <mergeCell ref="A31:F31"/>
    <mergeCell ref="A32:F32"/>
    <mergeCell ref="A33:F33"/>
    <mergeCell ref="A24:F24"/>
    <mergeCell ref="A25:F25"/>
    <mergeCell ref="A26:F26"/>
    <mergeCell ref="A27:F27"/>
    <mergeCell ref="A28:F28"/>
    <mergeCell ref="A29:F29"/>
    <mergeCell ref="A30:F30"/>
  </mergeCells>
  <dataValidations>
    <dataValidation type="list" allowBlank="1" showErrorMessage="1" sqref="F4">
      <formula1>"3697,MAXI,JUANCHI,JORGE,FEDE"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4" width="12.63"/>
    <col customWidth="1" min="5" max="5" width="14.63"/>
    <col customWidth="1" min="6" max="6" width="12.63"/>
  </cols>
  <sheetData>
    <row r="1" ht="15.75" customHeight="1">
      <c r="A1" s="1" t="s">
        <v>0</v>
      </c>
    </row>
    <row r="2" ht="15.75" customHeight="1">
      <c r="F2" s="31" t="s">
        <v>1</v>
      </c>
      <c r="G2" s="32">
        <v>40.5</v>
      </c>
    </row>
    <row r="3" ht="15.75" customHeight="1">
      <c r="A3" s="4" t="s">
        <v>2</v>
      </c>
      <c r="B3" s="5" t="s">
        <v>33</v>
      </c>
      <c r="C3" s="6"/>
      <c r="D3" s="6"/>
      <c r="E3" s="7"/>
    </row>
    <row r="4" ht="15.75" customHeight="1">
      <c r="A4" s="4" t="s">
        <v>3</v>
      </c>
      <c r="B4" s="2">
        <v>2017.0</v>
      </c>
      <c r="E4" s="4" t="s">
        <v>4</v>
      </c>
      <c r="F4" s="5" t="s">
        <v>34</v>
      </c>
      <c r="G4" s="7"/>
    </row>
    <row r="5" ht="15.75" customHeight="1">
      <c r="A5" s="4" t="s">
        <v>5</v>
      </c>
      <c r="B5" s="8" t="s">
        <v>35</v>
      </c>
      <c r="C5" s="7"/>
      <c r="E5" s="4" t="s">
        <v>6</v>
      </c>
      <c r="F5" s="9">
        <v>45980.0</v>
      </c>
      <c r="G5" s="7"/>
    </row>
    <row r="6" ht="15.75" customHeight="1">
      <c r="E6" s="4" t="s">
        <v>7</v>
      </c>
      <c r="F6" s="9">
        <v>45983.0</v>
      </c>
      <c r="G6" s="7"/>
    </row>
    <row r="7" ht="15.75" customHeight="1">
      <c r="A7" s="10" t="s">
        <v>8</v>
      </c>
      <c r="B7" s="11">
        <v>13000.0</v>
      </c>
      <c r="E7" s="4" t="s">
        <v>9</v>
      </c>
      <c r="F7" s="9"/>
      <c r="G7" s="7"/>
    </row>
    <row r="8" ht="15.75" customHeight="1">
      <c r="A8" s="10" t="s">
        <v>10</v>
      </c>
      <c r="B8" s="11">
        <f>SUM(G16+(H16/G2))</f>
        <v>754.3209877</v>
      </c>
    </row>
    <row r="9" ht="15.75" customHeight="1">
      <c r="A9" s="12" t="s">
        <v>11</v>
      </c>
      <c r="B9" s="13">
        <f>B7+B8</f>
        <v>13754.32099</v>
      </c>
    </row>
    <row r="10" ht="13.5" customHeight="1">
      <c r="A10" s="14" t="s">
        <v>12</v>
      </c>
      <c r="B10" s="15">
        <f>B9*0.15</f>
        <v>2063.148148</v>
      </c>
    </row>
    <row r="11" ht="12.75" customHeight="1">
      <c r="A11" s="14" t="s">
        <v>26</v>
      </c>
      <c r="B11" s="15">
        <v>10290.0</v>
      </c>
    </row>
    <row r="12" ht="15.75" customHeight="1">
      <c r="A12" s="12" t="s">
        <v>27</v>
      </c>
      <c r="B12" s="13">
        <v>15990.0</v>
      </c>
    </row>
    <row r="13" ht="15.75" customHeight="1"/>
    <row r="14" ht="15.75" customHeight="1">
      <c r="A14" s="12" t="s">
        <v>28</v>
      </c>
      <c r="B14" s="13">
        <f>B12-B9</f>
        <v>2235.679012</v>
      </c>
    </row>
    <row r="15" ht="15.75" customHeight="1"/>
    <row r="16" ht="15.75" customHeight="1">
      <c r="G16" s="17">
        <f t="shared" ref="G16:H16" si="1">SUM(G18:G33)</f>
        <v>500</v>
      </c>
      <c r="H16" s="18">
        <f t="shared" si="1"/>
        <v>10300</v>
      </c>
    </row>
    <row r="17" ht="15.75" customHeight="1">
      <c r="A17" s="19" t="s">
        <v>18</v>
      </c>
      <c r="B17" s="20"/>
      <c r="C17" s="20"/>
      <c r="D17" s="20"/>
      <c r="E17" s="20"/>
      <c r="F17" s="21"/>
      <c r="G17" s="22" t="s">
        <v>19</v>
      </c>
      <c r="H17" s="22" t="s">
        <v>20</v>
      </c>
    </row>
    <row r="18" ht="15.75" customHeight="1">
      <c r="A18" s="23" t="s">
        <v>21</v>
      </c>
      <c r="G18" s="24"/>
      <c r="H18" s="25">
        <v>5000.0</v>
      </c>
    </row>
    <row r="19" ht="15.75" customHeight="1">
      <c r="A19" s="23" t="s">
        <v>29</v>
      </c>
      <c r="G19" s="24">
        <v>500.0</v>
      </c>
      <c r="H19" s="25"/>
    </row>
    <row r="20" ht="15.75" customHeight="1">
      <c r="A20" s="23" t="s">
        <v>31</v>
      </c>
      <c r="G20" s="24"/>
      <c r="H20" s="25">
        <v>4500.0</v>
      </c>
    </row>
    <row r="21" ht="15.75" customHeight="1">
      <c r="A21" s="23" t="s">
        <v>36</v>
      </c>
      <c r="G21" s="24"/>
      <c r="H21" s="25">
        <v>800.0</v>
      </c>
    </row>
    <row r="22" ht="15.75" customHeight="1">
      <c r="G22" s="24"/>
      <c r="H22" s="25"/>
    </row>
    <row r="23" ht="15.75" customHeight="1">
      <c r="G23" s="24"/>
      <c r="H23" s="25"/>
    </row>
    <row r="24" ht="15.75" customHeight="1">
      <c r="G24" s="24"/>
      <c r="H24" s="25"/>
    </row>
    <row r="25" ht="15.75" customHeight="1">
      <c r="G25" s="24"/>
      <c r="H25" s="25"/>
    </row>
    <row r="26" ht="15.75" customHeight="1">
      <c r="G26" s="24"/>
      <c r="H26" s="25"/>
    </row>
    <row r="27" ht="15.75" customHeight="1">
      <c r="G27" s="24"/>
      <c r="H27" s="25"/>
    </row>
    <row r="28" ht="15.75" customHeight="1">
      <c r="G28" s="24"/>
      <c r="H28" s="25"/>
    </row>
    <row r="29" ht="15.75" customHeight="1">
      <c r="G29" s="24"/>
      <c r="H29" s="25"/>
    </row>
    <row r="30" ht="15.75" customHeight="1">
      <c r="G30" s="24"/>
      <c r="H30" s="25"/>
    </row>
    <row r="31" ht="15.75" customHeight="1">
      <c r="G31" s="24"/>
      <c r="H31" s="25"/>
    </row>
    <row r="32" ht="15.75" customHeight="1">
      <c r="G32" s="24"/>
      <c r="H32" s="25"/>
    </row>
    <row r="33" ht="15.75" customHeight="1">
      <c r="A33" s="27"/>
      <c r="B33" s="28"/>
      <c r="C33" s="28"/>
      <c r="D33" s="28"/>
      <c r="E33" s="28"/>
      <c r="F33" s="28"/>
      <c r="G33" s="29"/>
      <c r="H33" s="3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C1"/>
    <mergeCell ref="B3:E3"/>
    <mergeCell ref="F4:G4"/>
    <mergeCell ref="B5:C5"/>
    <mergeCell ref="F5:G5"/>
    <mergeCell ref="F6:G6"/>
    <mergeCell ref="F7:G7"/>
    <mergeCell ref="A17:F17"/>
    <mergeCell ref="A18:F18"/>
    <mergeCell ref="A19:F19"/>
    <mergeCell ref="A20:F20"/>
    <mergeCell ref="A21:F21"/>
    <mergeCell ref="A22:F22"/>
    <mergeCell ref="A23:F23"/>
    <mergeCell ref="A31:F31"/>
    <mergeCell ref="A32:F32"/>
    <mergeCell ref="A33:F33"/>
    <mergeCell ref="A24:F24"/>
    <mergeCell ref="A25:F25"/>
    <mergeCell ref="A26:F26"/>
    <mergeCell ref="A27:F27"/>
    <mergeCell ref="A28:F28"/>
    <mergeCell ref="A29:F29"/>
    <mergeCell ref="A30:F30"/>
  </mergeCells>
  <dataValidations>
    <dataValidation type="list" allowBlank="1" showErrorMessage="1" sqref="F4">
      <formula1>"3697,MAXI,JUANCHI,JORGE,FEDE"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4" width="12.63"/>
    <col customWidth="1" min="5" max="5" width="14.63"/>
    <col customWidth="1" min="6" max="6" width="12.63"/>
  </cols>
  <sheetData>
    <row r="1" ht="15.75" customHeight="1">
      <c r="A1" s="1" t="s">
        <v>0</v>
      </c>
    </row>
    <row r="2" ht="15.75" customHeight="1">
      <c r="F2" s="31" t="s">
        <v>1</v>
      </c>
      <c r="G2" s="32">
        <v>40.5</v>
      </c>
    </row>
    <row r="3" ht="15.75" customHeight="1">
      <c r="A3" s="4" t="s">
        <v>2</v>
      </c>
      <c r="B3" s="5" t="s">
        <v>37</v>
      </c>
      <c r="C3" s="6"/>
      <c r="D3" s="6"/>
      <c r="E3" s="7"/>
    </row>
    <row r="4" ht="15.75" customHeight="1">
      <c r="A4" s="4" t="s">
        <v>3</v>
      </c>
      <c r="B4" s="2">
        <v>2020.0</v>
      </c>
      <c r="E4" s="4" t="s">
        <v>4</v>
      </c>
      <c r="F4" s="5" t="s">
        <v>34</v>
      </c>
      <c r="G4" s="7"/>
    </row>
    <row r="5" ht="15.75" customHeight="1">
      <c r="A5" s="4" t="s">
        <v>5</v>
      </c>
      <c r="B5" s="8" t="s">
        <v>38</v>
      </c>
      <c r="C5" s="7"/>
      <c r="E5" s="4" t="s">
        <v>6</v>
      </c>
      <c r="F5" s="9">
        <v>45911.0</v>
      </c>
      <c r="G5" s="7"/>
    </row>
    <row r="6" ht="15.75" customHeight="1">
      <c r="E6" s="4" t="s">
        <v>7</v>
      </c>
      <c r="F6" s="9">
        <v>45930.0</v>
      </c>
      <c r="G6" s="7"/>
    </row>
    <row r="7" ht="15.75" customHeight="1">
      <c r="A7" s="10" t="s">
        <v>8</v>
      </c>
      <c r="B7" s="11">
        <v>7500.0</v>
      </c>
      <c r="E7" s="4" t="s">
        <v>9</v>
      </c>
      <c r="F7" s="9"/>
      <c r="G7" s="7"/>
    </row>
    <row r="8" ht="15.75" customHeight="1">
      <c r="A8" s="10" t="s">
        <v>10</v>
      </c>
      <c r="B8" s="11">
        <f>SUM(G16+(H16/G2))</f>
        <v>733.3333333</v>
      </c>
    </row>
    <row r="9" ht="15.75" customHeight="1">
      <c r="A9" s="12" t="s">
        <v>11</v>
      </c>
      <c r="B9" s="13">
        <f>B7+B8</f>
        <v>8233.333333</v>
      </c>
    </row>
    <row r="10" ht="13.5" customHeight="1">
      <c r="A10" s="14" t="s">
        <v>12</v>
      </c>
      <c r="B10" s="15">
        <f>B9*0.15</f>
        <v>1235</v>
      </c>
    </row>
    <row r="11" ht="12.75" customHeight="1">
      <c r="A11" s="14" t="s">
        <v>26</v>
      </c>
      <c r="B11" s="15">
        <v>10290.0</v>
      </c>
    </row>
    <row r="12" ht="15.75" customHeight="1">
      <c r="A12" s="12" t="s">
        <v>27</v>
      </c>
      <c r="B12" s="13">
        <v>9500.0</v>
      </c>
    </row>
    <row r="13" ht="15.75" customHeight="1"/>
    <row r="14" ht="15.75" customHeight="1">
      <c r="A14" s="12" t="s">
        <v>28</v>
      </c>
      <c r="B14" s="13">
        <f>B12-B9</f>
        <v>1266.666667</v>
      </c>
    </row>
    <row r="15" ht="15.75" customHeight="1"/>
    <row r="16" ht="15.75" customHeight="1">
      <c r="G16" s="17">
        <f t="shared" ref="G16:H16" si="1">SUM(G18:G33)</f>
        <v>500</v>
      </c>
      <c r="H16" s="18">
        <f t="shared" si="1"/>
        <v>9450</v>
      </c>
    </row>
    <row r="17" ht="15.75" customHeight="1">
      <c r="A17" s="19" t="s">
        <v>18</v>
      </c>
      <c r="B17" s="20"/>
      <c r="C17" s="20"/>
      <c r="D17" s="20"/>
      <c r="E17" s="20"/>
      <c r="F17" s="21"/>
      <c r="G17" s="22" t="s">
        <v>19</v>
      </c>
      <c r="H17" s="22" t="s">
        <v>20</v>
      </c>
    </row>
    <row r="18" ht="15.75" customHeight="1">
      <c r="A18" s="23" t="s">
        <v>21</v>
      </c>
      <c r="G18" s="24"/>
      <c r="H18" s="25">
        <v>5000.0</v>
      </c>
    </row>
    <row r="19" ht="15.75" customHeight="1">
      <c r="A19" s="23" t="s">
        <v>29</v>
      </c>
      <c r="G19" s="24">
        <v>500.0</v>
      </c>
      <c r="H19" s="25"/>
    </row>
    <row r="20" ht="15.75" customHeight="1">
      <c r="A20" s="23" t="s">
        <v>31</v>
      </c>
      <c r="G20" s="24"/>
      <c r="H20" s="25">
        <v>3250.0</v>
      </c>
    </row>
    <row r="21" ht="15.75" customHeight="1">
      <c r="A21" s="23" t="s">
        <v>39</v>
      </c>
      <c r="G21" s="24"/>
      <c r="H21" s="25">
        <v>1200.0</v>
      </c>
    </row>
    <row r="22" ht="15.75" customHeight="1">
      <c r="G22" s="24"/>
      <c r="H22" s="25"/>
    </row>
    <row r="23" ht="15.75" customHeight="1">
      <c r="G23" s="24"/>
      <c r="H23" s="25"/>
    </row>
    <row r="24" ht="15.75" customHeight="1">
      <c r="G24" s="24"/>
      <c r="H24" s="25"/>
    </row>
    <row r="25" ht="15.75" customHeight="1">
      <c r="G25" s="24"/>
      <c r="H25" s="25"/>
    </row>
    <row r="26" ht="15.75" customHeight="1">
      <c r="G26" s="24"/>
      <c r="H26" s="25"/>
    </row>
    <row r="27" ht="15.75" customHeight="1">
      <c r="G27" s="24"/>
      <c r="H27" s="25"/>
    </row>
    <row r="28" ht="15.75" customHeight="1">
      <c r="G28" s="24"/>
      <c r="H28" s="25"/>
    </row>
    <row r="29" ht="15.75" customHeight="1">
      <c r="G29" s="24"/>
      <c r="H29" s="25"/>
    </row>
    <row r="30" ht="15.75" customHeight="1">
      <c r="G30" s="24"/>
      <c r="H30" s="25"/>
    </row>
    <row r="31" ht="15.75" customHeight="1">
      <c r="G31" s="24"/>
      <c r="H31" s="25"/>
    </row>
    <row r="32" ht="15.75" customHeight="1">
      <c r="G32" s="24"/>
      <c r="H32" s="25"/>
    </row>
    <row r="33" ht="15.75" customHeight="1">
      <c r="A33" s="27"/>
      <c r="B33" s="28"/>
      <c r="C33" s="28"/>
      <c r="D33" s="28"/>
      <c r="E33" s="28"/>
      <c r="F33" s="28"/>
      <c r="G33" s="29"/>
      <c r="H33" s="3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C1"/>
    <mergeCell ref="B3:E3"/>
    <mergeCell ref="F4:G4"/>
    <mergeCell ref="B5:C5"/>
    <mergeCell ref="F5:G5"/>
    <mergeCell ref="F6:G6"/>
    <mergeCell ref="F7:G7"/>
    <mergeCell ref="A17:F17"/>
    <mergeCell ref="A18:F18"/>
    <mergeCell ref="A19:F19"/>
    <mergeCell ref="A20:F20"/>
    <mergeCell ref="A21:F21"/>
    <mergeCell ref="A22:F22"/>
    <mergeCell ref="A23:F23"/>
    <mergeCell ref="A31:F31"/>
    <mergeCell ref="A32:F32"/>
    <mergeCell ref="A33:F33"/>
    <mergeCell ref="A24:F24"/>
    <mergeCell ref="A25:F25"/>
    <mergeCell ref="A26:F26"/>
    <mergeCell ref="A27:F27"/>
    <mergeCell ref="A28:F28"/>
    <mergeCell ref="A29:F29"/>
    <mergeCell ref="A30:F30"/>
  </mergeCells>
  <dataValidations>
    <dataValidation type="list" allowBlank="1" showErrorMessage="1" sqref="F4">
      <formula1>"3697,MAXI,JUANCHI,JORGE,FEDE"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5" max="5" width="17.0"/>
  </cols>
  <sheetData>
    <row r="1" ht="15.75" customHeight="1">
      <c r="A1" s="34" t="s">
        <v>0</v>
      </c>
    </row>
    <row r="2" ht="15.75" customHeight="1">
      <c r="F2" s="2" t="s">
        <v>1</v>
      </c>
      <c r="G2" s="35">
        <v>40.5</v>
      </c>
    </row>
    <row r="3" ht="15.75" customHeight="1">
      <c r="A3" s="4" t="s">
        <v>2</v>
      </c>
      <c r="B3" s="33" t="s">
        <v>40</v>
      </c>
      <c r="C3" s="6"/>
      <c r="D3" s="6"/>
      <c r="E3" s="7"/>
    </row>
    <row r="4" ht="15.75" customHeight="1">
      <c r="A4" s="4" t="s">
        <v>3</v>
      </c>
      <c r="B4" s="36">
        <v>2011.0</v>
      </c>
      <c r="E4" s="4" t="s">
        <v>4</v>
      </c>
      <c r="F4" s="33" t="s">
        <v>24</v>
      </c>
      <c r="G4" s="7"/>
    </row>
    <row r="5" ht="15.75" customHeight="1">
      <c r="A5" s="4" t="s">
        <v>5</v>
      </c>
      <c r="B5" s="37" t="s">
        <v>41</v>
      </c>
      <c r="C5" s="7"/>
      <c r="E5" s="4" t="s">
        <v>6</v>
      </c>
      <c r="F5" s="38">
        <v>46080.0</v>
      </c>
      <c r="G5" s="7"/>
    </row>
    <row r="6" ht="15.75" customHeight="1">
      <c r="E6" s="4" t="s">
        <v>7</v>
      </c>
      <c r="F6" s="38">
        <v>46084.0</v>
      </c>
      <c r="G6" s="7"/>
    </row>
    <row r="7" ht="15.75" customHeight="1">
      <c r="A7" s="10" t="s">
        <v>8</v>
      </c>
      <c r="B7" s="39">
        <v>6500.0</v>
      </c>
      <c r="E7" s="4" t="s">
        <v>9</v>
      </c>
      <c r="F7" s="9"/>
      <c r="G7" s="7"/>
    </row>
    <row r="8" ht="15.75" customHeight="1">
      <c r="A8" s="10" t="s">
        <v>10</v>
      </c>
      <c r="B8" s="11">
        <f>SUM(G17+(H17/G2)+(E11/G2))</f>
        <v>68</v>
      </c>
    </row>
    <row r="9" ht="15.75" customHeight="1">
      <c r="A9" s="12" t="s">
        <v>11</v>
      </c>
      <c r="B9" s="13">
        <f>B7+B8</f>
        <v>6568</v>
      </c>
    </row>
    <row r="10" ht="13.5" customHeight="1">
      <c r="A10" s="14" t="s">
        <v>12</v>
      </c>
      <c r="B10" s="15">
        <f>B9*0.15</f>
        <v>985.2</v>
      </c>
    </row>
    <row r="11" ht="12.75" customHeight="1">
      <c r="A11" s="14" t="s">
        <v>13</v>
      </c>
      <c r="B11" s="16"/>
      <c r="C11" s="14" t="s">
        <v>14</v>
      </c>
      <c r="D11" s="14"/>
      <c r="E11" s="16">
        <f>B11*D11</f>
        <v>0</v>
      </c>
    </row>
    <row r="12" ht="12.75" customHeight="1">
      <c r="A12" s="14" t="s">
        <v>15</v>
      </c>
      <c r="B12" s="15">
        <v>10290.0</v>
      </c>
    </row>
    <row r="13" ht="15.75" customHeight="1">
      <c r="A13" s="12" t="s">
        <v>16</v>
      </c>
      <c r="B13" s="40">
        <v>8900.0</v>
      </c>
    </row>
    <row r="14" ht="15.75" customHeight="1"/>
    <row r="15" ht="15.75" customHeight="1">
      <c r="A15" s="12" t="s">
        <v>17</v>
      </c>
      <c r="B15" s="13">
        <f>B13-B9</f>
        <v>2332</v>
      </c>
    </row>
    <row r="16" ht="15.75" customHeight="1"/>
    <row r="17" ht="15.75" customHeight="1">
      <c r="G17" s="17">
        <f t="shared" ref="G17:H17" si="1">SUM(G20:G34)</f>
        <v>68</v>
      </c>
      <c r="H17" s="18">
        <f t="shared" si="1"/>
        <v>0</v>
      </c>
    </row>
    <row r="18" ht="15.75" customHeight="1">
      <c r="A18" s="19" t="s">
        <v>18</v>
      </c>
      <c r="B18" s="20"/>
      <c r="C18" s="20"/>
      <c r="D18" s="20"/>
      <c r="E18" s="20"/>
      <c r="F18" s="21"/>
      <c r="G18" s="22" t="s">
        <v>19</v>
      </c>
      <c r="H18" s="22" t="s">
        <v>20</v>
      </c>
    </row>
    <row r="19" ht="15.75" customHeight="1">
      <c r="A19" s="26" t="s">
        <v>42</v>
      </c>
      <c r="G19" s="41">
        <v>500.0</v>
      </c>
      <c r="H19" s="25"/>
    </row>
    <row r="20" ht="15.75" customHeight="1">
      <c r="A20" s="26" t="s">
        <v>43</v>
      </c>
      <c r="G20" s="41">
        <v>19.0</v>
      </c>
      <c r="H20" s="25"/>
    </row>
    <row r="21" ht="15.75" customHeight="1">
      <c r="A21" s="42" t="s">
        <v>44</v>
      </c>
      <c r="G21" s="41">
        <v>49.0</v>
      </c>
      <c r="H21" s="25"/>
    </row>
    <row r="22" ht="15.75" customHeight="1">
      <c r="G22" s="24"/>
      <c r="H22" s="25"/>
    </row>
    <row r="23" ht="15.75" customHeight="1">
      <c r="G23" s="24"/>
      <c r="H23" s="25"/>
    </row>
    <row r="24" ht="15.75" customHeight="1">
      <c r="G24" s="24"/>
      <c r="H24" s="25"/>
    </row>
    <row r="25" ht="15.75" customHeight="1">
      <c r="G25" s="24"/>
      <c r="H25" s="25"/>
    </row>
    <row r="26" ht="15.75" customHeight="1">
      <c r="G26" s="24"/>
      <c r="H26" s="25"/>
    </row>
    <row r="27" ht="15.75" customHeight="1">
      <c r="G27" s="24"/>
      <c r="H27" s="25"/>
    </row>
    <row r="28" ht="15.75" customHeight="1">
      <c r="G28" s="24"/>
      <c r="H28" s="25"/>
    </row>
    <row r="29" ht="15.75" customHeight="1">
      <c r="G29" s="24"/>
      <c r="H29" s="25"/>
    </row>
    <row r="30" ht="15.75" customHeight="1">
      <c r="G30" s="24"/>
      <c r="H30" s="25"/>
    </row>
    <row r="31" ht="15.75" customHeight="1">
      <c r="G31" s="24"/>
      <c r="H31" s="25"/>
    </row>
    <row r="32" ht="15.75" customHeight="1">
      <c r="G32" s="24"/>
      <c r="H32" s="25"/>
    </row>
    <row r="33" ht="15.75" customHeight="1">
      <c r="G33" s="24"/>
      <c r="H33" s="25"/>
    </row>
    <row r="34" ht="15.75" customHeight="1">
      <c r="A34" s="27"/>
      <c r="B34" s="28"/>
      <c r="C34" s="28"/>
      <c r="D34" s="28"/>
      <c r="E34" s="28"/>
      <c r="F34" s="28"/>
      <c r="G34" s="29"/>
      <c r="H34" s="3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</sheetData>
  <mergeCells count="24">
    <mergeCell ref="A1:C1"/>
    <mergeCell ref="B3:E3"/>
    <mergeCell ref="F4:G4"/>
    <mergeCell ref="B5:C5"/>
    <mergeCell ref="F5:G5"/>
    <mergeCell ref="F6:G6"/>
    <mergeCell ref="F7:G7"/>
    <mergeCell ref="A18:F18"/>
    <mergeCell ref="A19:F19"/>
    <mergeCell ref="A20:F20"/>
    <mergeCell ref="A21:F21"/>
    <mergeCell ref="A22:F22"/>
    <mergeCell ref="A23:F23"/>
    <mergeCell ref="A24:F24"/>
    <mergeCell ref="A32:F32"/>
    <mergeCell ref="A33:F33"/>
    <mergeCell ref="A34:F34"/>
    <mergeCell ref="A25:F25"/>
    <mergeCell ref="A26:F26"/>
    <mergeCell ref="A27:F27"/>
    <mergeCell ref="A28:F28"/>
    <mergeCell ref="A29:F29"/>
    <mergeCell ref="A30:F30"/>
    <mergeCell ref="A31:F31"/>
  </mergeCells>
  <dataValidations>
    <dataValidation type="list" allowBlank="1" showErrorMessage="1" sqref="F4">
      <formula1>"JORGE"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4" width="12.63"/>
    <col customWidth="1" min="5" max="5" width="14.63"/>
    <col customWidth="1" min="6" max="6" width="12.63"/>
  </cols>
  <sheetData>
    <row r="1" ht="15.75" customHeight="1">
      <c r="A1" s="1" t="s">
        <v>0</v>
      </c>
    </row>
    <row r="2" ht="15.75" customHeight="1">
      <c r="F2" s="31" t="s">
        <v>1</v>
      </c>
      <c r="G2" s="32">
        <v>40.5</v>
      </c>
    </row>
    <row r="3" ht="15.75" customHeight="1">
      <c r="A3" s="4" t="s">
        <v>2</v>
      </c>
      <c r="B3" s="43" t="s">
        <v>45</v>
      </c>
      <c r="C3" s="6"/>
      <c r="D3" s="6"/>
      <c r="E3" s="7"/>
    </row>
    <row r="4" ht="15.75" customHeight="1">
      <c r="A4" s="4" t="s">
        <v>3</v>
      </c>
      <c r="B4" s="44">
        <v>2016.0</v>
      </c>
      <c r="E4" s="4" t="s">
        <v>4</v>
      </c>
      <c r="F4" s="33" t="s">
        <v>24</v>
      </c>
      <c r="G4" s="7"/>
    </row>
    <row r="5" ht="15.75" customHeight="1">
      <c r="A5" s="4" t="s">
        <v>5</v>
      </c>
      <c r="B5" s="45" t="s">
        <v>46</v>
      </c>
      <c r="C5" s="46"/>
      <c r="E5" s="4" t="s">
        <v>6</v>
      </c>
      <c r="F5" s="9"/>
      <c r="G5" s="7"/>
    </row>
    <row r="6" ht="15.75" customHeight="1">
      <c r="E6" s="4" t="s">
        <v>7</v>
      </c>
      <c r="F6" s="9"/>
      <c r="G6" s="7"/>
    </row>
    <row r="7" ht="15.75" customHeight="1">
      <c r="A7" s="10" t="s">
        <v>8</v>
      </c>
      <c r="B7" s="11">
        <v>0.0</v>
      </c>
      <c r="E7" s="4" t="s">
        <v>9</v>
      </c>
      <c r="F7" s="9"/>
      <c r="G7" s="7"/>
    </row>
    <row r="8" ht="15.75" customHeight="1">
      <c r="A8" s="10" t="s">
        <v>10</v>
      </c>
      <c r="B8" s="11">
        <f>SUM(G17+(H17/G2)+(E11/G2))</f>
        <v>1502.45679</v>
      </c>
    </row>
    <row r="9" ht="15.75" customHeight="1">
      <c r="A9" s="12" t="s">
        <v>11</v>
      </c>
      <c r="B9" s="13">
        <f>B7+B8</f>
        <v>1502.45679</v>
      </c>
    </row>
    <row r="10" ht="13.5" customHeight="1">
      <c r="A10" s="14" t="s">
        <v>12</v>
      </c>
      <c r="B10" s="15">
        <f>B9*0.15</f>
        <v>225.3685185</v>
      </c>
    </row>
    <row r="11" ht="12.75" customHeight="1">
      <c r="A11" s="14" t="s">
        <v>13</v>
      </c>
      <c r="B11" s="16"/>
      <c r="C11" s="14" t="s">
        <v>14</v>
      </c>
      <c r="D11" s="14"/>
      <c r="E11" s="16">
        <f>B11*D11</f>
        <v>0</v>
      </c>
    </row>
    <row r="12" ht="12.75" customHeight="1">
      <c r="A12" s="14" t="s">
        <v>15</v>
      </c>
      <c r="B12" s="15">
        <v>10290.0</v>
      </c>
    </row>
    <row r="13" ht="15.75" customHeight="1">
      <c r="A13" s="12" t="s">
        <v>16</v>
      </c>
      <c r="B13" s="13">
        <v>0.0</v>
      </c>
    </row>
    <row r="14" ht="15.75" customHeight="1"/>
    <row r="15" ht="15.75" customHeight="1">
      <c r="A15" s="12" t="s">
        <v>17</v>
      </c>
      <c r="B15" s="13">
        <f>B13-B9</f>
        <v>-1502.45679</v>
      </c>
    </row>
    <row r="16" ht="15.75" customHeight="1"/>
    <row r="17" ht="15.75" customHeight="1">
      <c r="G17" s="17">
        <f t="shared" ref="G17:H17" si="1">SUM(G19:G34)</f>
        <v>1379</v>
      </c>
      <c r="H17" s="18">
        <f t="shared" si="1"/>
        <v>5000</v>
      </c>
    </row>
    <row r="18" ht="15.75" customHeight="1">
      <c r="A18" s="19" t="s">
        <v>18</v>
      </c>
      <c r="B18" s="20"/>
      <c r="C18" s="20"/>
      <c r="D18" s="20"/>
      <c r="E18" s="20"/>
      <c r="F18" s="21"/>
      <c r="G18" s="22" t="s">
        <v>19</v>
      </c>
      <c r="H18" s="22" t="s">
        <v>20</v>
      </c>
    </row>
    <row r="19" ht="15.75" customHeight="1">
      <c r="A19" s="23" t="s">
        <v>21</v>
      </c>
      <c r="G19" s="24"/>
      <c r="H19" s="25">
        <v>5000.0</v>
      </c>
    </row>
    <row r="20" ht="15.75" customHeight="1">
      <c r="A20" s="23" t="s">
        <v>29</v>
      </c>
      <c r="G20" s="24">
        <v>500.0</v>
      </c>
      <c r="H20" s="25"/>
    </row>
    <row r="21" ht="15.75" customHeight="1">
      <c r="A21" s="42" t="s">
        <v>47</v>
      </c>
      <c r="G21" s="41">
        <v>879.0</v>
      </c>
      <c r="H21" s="25"/>
    </row>
    <row r="22" ht="15.75" customHeight="1">
      <c r="G22" s="24"/>
      <c r="H22" s="25"/>
    </row>
    <row r="23" ht="15.75" customHeight="1">
      <c r="G23" s="24"/>
      <c r="H23" s="25"/>
    </row>
    <row r="24" ht="15.75" customHeight="1">
      <c r="G24" s="24"/>
      <c r="H24" s="25"/>
    </row>
    <row r="25" ht="15.75" customHeight="1">
      <c r="G25" s="24"/>
      <c r="H25" s="25"/>
    </row>
    <row r="26" ht="15.75" customHeight="1">
      <c r="G26" s="24"/>
      <c r="H26" s="25"/>
    </row>
    <row r="27" ht="15.75" customHeight="1">
      <c r="G27" s="24"/>
      <c r="H27" s="25"/>
    </row>
    <row r="28" ht="15.75" customHeight="1">
      <c r="G28" s="24"/>
      <c r="H28" s="25"/>
    </row>
    <row r="29" ht="15.75" customHeight="1">
      <c r="G29" s="24"/>
      <c r="H29" s="25"/>
    </row>
    <row r="30" ht="15.75" customHeight="1">
      <c r="G30" s="24"/>
      <c r="H30" s="25"/>
    </row>
    <row r="31" ht="15.75" customHeight="1">
      <c r="G31" s="24"/>
      <c r="H31" s="25"/>
    </row>
    <row r="32" ht="15.75" customHeight="1">
      <c r="G32" s="24"/>
      <c r="H32" s="25"/>
    </row>
    <row r="33" ht="15.75" customHeight="1">
      <c r="G33" s="24"/>
      <c r="H33" s="25"/>
    </row>
    <row r="34" ht="15.75" customHeight="1">
      <c r="A34" s="27"/>
      <c r="B34" s="28"/>
      <c r="C34" s="28"/>
      <c r="D34" s="28"/>
      <c r="E34" s="28"/>
      <c r="F34" s="28"/>
      <c r="G34" s="29"/>
      <c r="H34" s="3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C1"/>
    <mergeCell ref="B3:E3"/>
    <mergeCell ref="F4:G4"/>
    <mergeCell ref="F5:G5"/>
    <mergeCell ref="F6:G6"/>
    <mergeCell ref="F7:G7"/>
    <mergeCell ref="A18:F18"/>
    <mergeCell ref="A19:F19"/>
    <mergeCell ref="A20:F20"/>
    <mergeCell ref="A21:F21"/>
    <mergeCell ref="A22:F22"/>
    <mergeCell ref="A23:F23"/>
    <mergeCell ref="A24:F24"/>
    <mergeCell ref="A25:F25"/>
    <mergeCell ref="A33:F33"/>
    <mergeCell ref="A34:F34"/>
    <mergeCell ref="A26:F26"/>
    <mergeCell ref="A27:F27"/>
    <mergeCell ref="A28:F28"/>
    <mergeCell ref="A29:F29"/>
    <mergeCell ref="A30:F30"/>
    <mergeCell ref="A31:F31"/>
    <mergeCell ref="A32:F32"/>
  </mergeCells>
  <dataValidations>
    <dataValidation type="list" allowBlank="1" showErrorMessage="1" sqref="F4">
      <formula1>"3697,MAXI,JUANCHI,JORGE,FEDE"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15.13"/>
    <col customWidth="1" min="5" max="5" width="15.38"/>
  </cols>
  <sheetData>
    <row r="1">
      <c r="A1" s="34" t="s">
        <v>0</v>
      </c>
    </row>
    <row r="2">
      <c r="F2" s="2" t="s">
        <v>1</v>
      </c>
      <c r="G2" s="35">
        <v>40.5</v>
      </c>
    </row>
    <row r="3">
      <c r="A3" s="4" t="s">
        <v>2</v>
      </c>
      <c r="B3" s="33" t="s">
        <v>48</v>
      </c>
      <c r="C3" s="6"/>
      <c r="D3" s="6"/>
      <c r="E3" s="7"/>
    </row>
    <row r="4">
      <c r="A4" s="4" t="s">
        <v>3</v>
      </c>
      <c r="B4" s="36">
        <v>2022.0</v>
      </c>
      <c r="E4" s="4" t="s">
        <v>4</v>
      </c>
      <c r="F4" s="33" t="s">
        <v>24</v>
      </c>
      <c r="G4" s="7"/>
    </row>
    <row r="5">
      <c r="A5" s="4" t="s">
        <v>5</v>
      </c>
      <c r="B5" s="37" t="s">
        <v>49</v>
      </c>
      <c r="C5" s="7"/>
      <c r="E5" s="4" t="s">
        <v>6</v>
      </c>
      <c r="F5" s="47">
        <v>14500.0</v>
      </c>
      <c r="G5" s="7"/>
    </row>
    <row r="6">
      <c r="E6" s="4" t="s">
        <v>7</v>
      </c>
      <c r="F6" s="38">
        <v>46084.0</v>
      </c>
      <c r="G6" s="7"/>
    </row>
    <row r="7">
      <c r="A7" s="10" t="s">
        <v>8</v>
      </c>
      <c r="B7" s="39">
        <v>14500.0</v>
      </c>
      <c r="E7" s="4" t="s">
        <v>9</v>
      </c>
      <c r="F7" s="38">
        <v>46090.0</v>
      </c>
      <c r="G7" s="7"/>
    </row>
    <row r="8">
      <c r="A8" s="10" t="s">
        <v>10</v>
      </c>
      <c r="B8" s="11">
        <f>SUM(G17+(H17/G2)+(E11/G2))</f>
        <v>559.2592593</v>
      </c>
    </row>
    <row r="9">
      <c r="A9" s="12" t="s">
        <v>11</v>
      </c>
      <c r="B9" s="13">
        <f>B7+B8</f>
        <v>15059.25926</v>
      </c>
    </row>
    <row r="10">
      <c r="A10" s="14" t="s">
        <v>12</v>
      </c>
      <c r="B10" s="15">
        <f>B9*0.15</f>
        <v>2258.888889</v>
      </c>
    </row>
    <row r="11">
      <c r="A11" s="14" t="s">
        <v>13</v>
      </c>
      <c r="B11" s="16"/>
      <c r="C11" s="14" t="s">
        <v>14</v>
      </c>
      <c r="D11" s="14"/>
      <c r="E11" s="16">
        <f>B11*D11</f>
        <v>0</v>
      </c>
    </row>
    <row r="12">
      <c r="A12" s="14" t="s">
        <v>15</v>
      </c>
      <c r="B12" s="15">
        <v>10290.0</v>
      </c>
    </row>
    <row r="13">
      <c r="A13" s="12" t="s">
        <v>16</v>
      </c>
      <c r="B13" s="40">
        <v>17000.0</v>
      </c>
    </row>
    <row r="15">
      <c r="A15" s="12" t="s">
        <v>17</v>
      </c>
      <c r="B15" s="13">
        <f>B13-B9</f>
        <v>1940.740741</v>
      </c>
    </row>
    <row r="17">
      <c r="G17" s="17">
        <f t="shared" ref="G17:H17" si="1">SUM(G19:G34)</f>
        <v>500</v>
      </c>
      <c r="H17" s="18">
        <f t="shared" si="1"/>
        <v>2400</v>
      </c>
    </row>
    <row r="18">
      <c r="A18" s="19" t="s">
        <v>18</v>
      </c>
      <c r="B18" s="20"/>
      <c r="C18" s="20"/>
      <c r="D18" s="20"/>
      <c r="E18" s="20"/>
      <c r="F18" s="21"/>
      <c r="G18" s="22" t="s">
        <v>19</v>
      </c>
      <c r="H18" s="22" t="s">
        <v>20</v>
      </c>
    </row>
    <row r="19">
      <c r="A19" s="26" t="s">
        <v>50</v>
      </c>
      <c r="B19" s="23"/>
      <c r="C19" s="23"/>
      <c r="D19" s="23"/>
      <c r="E19" s="23"/>
      <c r="F19" s="23"/>
      <c r="G19" s="24"/>
      <c r="H19" s="48">
        <v>2400.0</v>
      </c>
    </row>
    <row r="20">
      <c r="A20" s="26" t="s">
        <v>51</v>
      </c>
      <c r="G20" s="24">
        <v>500.0</v>
      </c>
      <c r="H20" s="25"/>
    </row>
    <row r="21">
      <c r="G21" s="24"/>
      <c r="H21" s="25"/>
    </row>
    <row r="22">
      <c r="G22" s="24"/>
      <c r="H22" s="25"/>
    </row>
    <row r="23">
      <c r="G23" s="24"/>
      <c r="H23" s="25"/>
    </row>
    <row r="24">
      <c r="G24" s="24"/>
      <c r="H24" s="25"/>
    </row>
    <row r="25">
      <c r="G25" s="24"/>
      <c r="H25" s="25"/>
    </row>
    <row r="26">
      <c r="G26" s="24"/>
      <c r="H26" s="25"/>
    </row>
    <row r="27">
      <c r="G27" s="24"/>
      <c r="H27" s="25"/>
    </row>
    <row r="28">
      <c r="G28" s="24"/>
      <c r="H28" s="25"/>
    </row>
    <row r="29">
      <c r="G29" s="24"/>
      <c r="H29" s="25"/>
    </row>
    <row r="30">
      <c r="G30" s="24"/>
      <c r="H30" s="25"/>
    </row>
    <row r="31">
      <c r="G31" s="24"/>
      <c r="H31" s="25"/>
    </row>
    <row r="32">
      <c r="G32" s="24"/>
      <c r="H32" s="25"/>
    </row>
    <row r="33">
      <c r="G33" s="24"/>
      <c r="H33" s="25"/>
    </row>
    <row r="34">
      <c r="A34" s="27"/>
      <c r="B34" s="28"/>
      <c r="C34" s="28"/>
      <c r="D34" s="28"/>
      <c r="E34" s="28"/>
      <c r="F34" s="28"/>
      <c r="G34" s="29"/>
      <c r="H34" s="30"/>
    </row>
  </sheetData>
  <mergeCells count="23">
    <mergeCell ref="A1:C1"/>
    <mergeCell ref="B3:E3"/>
    <mergeCell ref="F4:G4"/>
    <mergeCell ref="B5:C5"/>
    <mergeCell ref="F5:G5"/>
    <mergeCell ref="F6:G6"/>
    <mergeCell ref="F7:G7"/>
    <mergeCell ref="A18:F18"/>
    <mergeCell ref="A20:F20"/>
    <mergeCell ref="A21:F21"/>
    <mergeCell ref="A22:F22"/>
    <mergeCell ref="A23:F23"/>
    <mergeCell ref="A24:F24"/>
    <mergeCell ref="A25:F25"/>
    <mergeCell ref="A33:F33"/>
    <mergeCell ref="A34:F34"/>
    <mergeCell ref="A26:F26"/>
    <mergeCell ref="A27:F27"/>
    <mergeCell ref="A28:F28"/>
    <mergeCell ref="A29:F29"/>
    <mergeCell ref="A30:F30"/>
    <mergeCell ref="A31:F31"/>
    <mergeCell ref="A32:F32"/>
  </mergeCells>
  <dataValidations>
    <dataValidation type="list" allowBlank="1" showErrorMessage="1" sqref="F4">
      <formula1>"JORGE"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5" max="5" width="26.75"/>
  </cols>
  <sheetData>
    <row r="1">
      <c r="A1" s="34" t="s">
        <v>0</v>
      </c>
    </row>
    <row r="2">
      <c r="F2" s="2" t="s">
        <v>1</v>
      </c>
      <c r="G2" s="35">
        <v>40.5</v>
      </c>
    </row>
    <row r="3">
      <c r="A3" s="4" t="s">
        <v>2</v>
      </c>
      <c r="B3" s="5"/>
      <c r="C3" s="6"/>
      <c r="D3" s="6"/>
      <c r="E3" s="7"/>
    </row>
    <row r="4">
      <c r="A4" s="4" t="s">
        <v>3</v>
      </c>
      <c r="B4" s="2"/>
      <c r="E4" s="4" t="s">
        <v>4</v>
      </c>
      <c r="F4" s="33" t="s">
        <v>24</v>
      </c>
      <c r="G4" s="7"/>
    </row>
    <row r="5">
      <c r="A5" s="4" t="s">
        <v>5</v>
      </c>
      <c r="B5" s="8"/>
      <c r="C5" s="7"/>
      <c r="E5" s="4" t="s">
        <v>6</v>
      </c>
      <c r="F5" s="9"/>
      <c r="G5" s="7"/>
    </row>
    <row r="6">
      <c r="E6" s="4" t="s">
        <v>7</v>
      </c>
      <c r="F6" s="38">
        <v>46084.0</v>
      </c>
      <c r="G6" s="7"/>
    </row>
    <row r="7">
      <c r="A7" s="10" t="s">
        <v>8</v>
      </c>
      <c r="B7" s="39">
        <v>6000.0</v>
      </c>
      <c r="E7" s="4" t="s">
        <v>9</v>
      </c>
      <c r="F7" s="9"/>
      <c r="G7" s="7"/>
    </row>
    <row r="8">
      <c r="A8" s="10" t="s">
        <v>10</v>
      </c>
      <c r="B8" s="11">
        <f>SUM(G17+(H17/G2)+(E11/G2))</f>
        <v>1370.17284</v>
      </c>
    </row>
    <row r="9">
      <c r="A9" s="12" t="s">
        <v>11</v>
      </c>
      <c r="B9" s="13">
        <f>B7+B8</f>
        <v>7370.17284</v>
      </c>
    </row>
    <row r="10">
      <c r="A10" s="14" t="s">
        <v>12</v>
      </c>
      <c r="B10" s="15">
        <f>B9*0.15</f>
        <v>1105.525926</v>
      </c>
    </row>
    <row r="11">
      <c r="A11" s="14" t="s">
        <v>13</v>
      </c>
      <c r="B11" s="16"/>
      <c r="C11" s="14" t="s">
        <v>14</v>
      </c>
      <c r="D11" s="14"/>
      <c r="E11" s="16">
        <f>B11*D11</f>
        <v>0</v>
      </c>
    </row>
    <row r="12">
      <c r="A12" s="14" t="s">
        <v>15</v>
      </c>
      <c r="B12" s="15">
        <v>10290.0</v>
      </c>
    </row>
    <row r="13">
      <c r="A13" s="12" t="s">
        <v>16</v>
      </c>
      <c r="B13" s="40">
        <v>8400.0</v>
      </c>
    </row>
    <row r="15">
      <c r="A15" s="12" t="s">
        <v>17</v>
      </c>
      <c r="B15" s="13">
        <f>B13-B9</f>
        <v>1029.82716</v>
      </c>
    </row>
    <row r="17">
      <c r="G17" s="17">
        <f t="shared" ref="G17:H17" si="1">SUM(G19:G33)</f>
        <v>500</v>
      </c>
      <c r="H17" s="18">
        <f t="shared" si="1"/>
        <v>35242</v>
      </c>
    </row>
    <row r="18">
      <c r="A18" s="19" t="s">
        <v>18</v>
      </c>
      <c r="B18" s="20"/>
      <c r="C18" s="20"/>
      <c r="D18" s="20"/>
      <c r="E18" s="20"/>
      <c r="F18" s="21"/>
      <c r="G18" s="22" t="s">
        <v>19</v>
      </c>
      <c r="H18" s="22" t="s">
        <v>20</v>
      </c>
    </row>
    <row r="19">
      <c r="A19" s="26" t="s">
        <v>52</v>
      </c>
      <c r="G19" s="24"/>
      <c r="H19" s="48">
        <v>20000.0</v>
      </c>
    </row>
    <row r="20">
      <c r="A20" s="42" t="s">
        <v>42</v>
      </c>
      <c r="G20" s="41">
        <v>500.0</v>
      </c>
      <c r="H20" s="25"/>
    </row>
    <row r="21">
      <c r="A21" s="42" t="s">
        <v>53</v>
      </c>
      <c r="G21" s="41"/>
      <c r="H21" s="48">
        <v>5433.0</v>
      </c>
    </row>
    <row r="22">
      <c r="A22" s="42" t="s">
        <v>54</v>
      </c>
      <c r="G22" s="24"/>
      <c r="H22" s="48">
        <v>990.0</v>
      </c>
    </row>
    <row r="23">
      <c r="A23" s="42" t="s">
        <v>55</v>
      </c>
      <c r="G23" s="24"/>
      <c r="H23" s="48">
        <v>689.0</v>
      </c>
    </row>
    <row r="24">
      <c r="A24" s="42" t="s">
        <v>56</v>
      </c>
      <c r="G24" s="24"/>
      <c r="H24" s="48">
        <v>3100.0</v>
      </c>
    </row>
    <row r="25">
      <c r="A25" s="42" t="s">
        <v>57</v>
      </c>
      <c r="G25" s="24"/>
      <c r="H25" s="48">
        <v>5030.0</v>
      </c>
    </row>
    <row r="26">
      <c r="G26" s="24"/>
      <c r="H26" s="25"/>
    </row>
    <row r="27">
      <c r="G27" s="24"/>
      <c r="H27" s="25"/>
    </row>
    <row r="28">
      <c r="G28" s="24"/>
      <c r="H28" s="25"/>
    </row>
    <row r="29">
      <c r="G29" s="24"/>
      <c r="H29" s="25"/>
    </row>
    <row r="30">
      <c r="G30" s="24"/>
      <c r="H30" s="25"/>
    </row>
    <row r="31">
      <c r="G31" s="24"/>
      <c r="H31" s="25"/>
    </row>
    <row r="32">
      <c r="G32" s="24"/>
      <c r="H32" s="25"/>
    </row>
    <row r="33">
      <c r="A33" s="27"/>
      <c r="B33" s="28"/>
      <c r="C33" s="28"/>
      <c r="D33" s="28"/>
      <c r="E33" s="28"/>
      <c r="F33" s="28"/>
      <c r="G33" s="29"/>
      <c r="H33" s="30"/>
    </row>
  </sheetData>
  <mergeCells count="23">
    <mergeCell ref="A1:C1"/>
    <mergeCell ref="B3:E3"/>
    <mergeCell ref="F4:G4"/>
    <mergeCell ref="B5:C5"/>
    <mergeCell ref="F5:G5"/>
    <mergeCell ref="F6:G6"/>
    <mergeCell ref="F7:G7"/>
    <mergeCell ref="A18:F18"/>
    <mergeCell ref="A19:F19"/>
    <mergeCell ref="A20:F20"/>
    <mergeCell ref="A21:F21"/>
    <mergeCell ref="A22:F22"/>
    <mergeCell ref="A23:F23"/>
    <mergeCell ref="A24:F24"/>
    <mergeCell ref="A32:F32"/>
    <mergeCell ref="A33:F33"/>
    <mergeCell ref="A25:F25"/>
    <mergeCell ref="A26:F26"/>
    <mergeCell ref="A27:F27"/>
    <mergeCell ref="A28:F28"/>
    <mergeCell ref="A29:F29"/>
    <mergeCell ref="A30:F30"/>
    <mergeCell ref="A31:F31"/>
  </mergeCells>
  <dataValidations>
    <dataValidation type="list" allowBlank="1" showErrorMessage="1" sqref="F4">
      <formula1>"3697,MAXI,JUANCHI,JORGE,FEDE"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5" max="5" width="16.25"/>
  </cols>
  <sheetData>
    <row r="1">
      <c r="A1" s="1" t="s">
        <v>0</v>
      </c>
    </row>
    <row r="2">
      <c r="F2" s="2" t="s">
        <v>1</v>
      </c>
      <c r="G2" s="3">
        <v>40.5</v>
      </c>
    </row>
    <row r="3">
      <c r="A3" s="4" t="s">
        <v>2</v>
      </c>
      <c r="B3" s="33" t="s">
        <v>58</v>
      </c>
      <c r="C3" s="6"/>
      <c r="D3" s="6"/>
      <c r="E3" s="7"/>
    </row>
    <row r="4">
      <c r="A4" s="4" t="s">
        <v>3</v>
      </c>
      <c r="B4" s="36">
        <v>2021.0</v>
      </c>
      <c r="E4" s="4" t="s">
        <v>4</v>
      </c>
      <c r="F4" s="33" t="s">
        <v>59</v>
      </c>
      <c r="G4" s="7"/>
    </row>
    <row r="5">
      <c r="A5" s="4" t="s">
        <v>5</v>
      </c>
      <c r="B5" s="37" t="s">
        <v>60</v>
      </c>
      <c r="C5" s="7"/>
      <c r="E5" s="4" t="s">
        <v>6</v>
      </c>
      <c r="F5" s="9"/>
      <c r="G5" s="7"/>
    </row>
    <row r="6">
      <c r="E6" s="4" t="s">
        <v>7</v>
      </c>
      <c r="F6" s="9"/>
      <c r="G6" s="7"/>
    </row>
    <row r="7">
      <c r="A7" s="10" t="s">
        <v>8</v>
      </c>
      <c r="B7" s="11">
        <v>0.0</v>
      </c>
      <c r="E7" s="4" t="s">
        <v>9</v>
      </c>
      <c r="F7" s="9"/>
      <c r="G7" s="7"/>
    </row>
    <row r="8">
      <c r="A8" s="10" t="s">
        <v>10</v>
      </c>
      <c r="B8" s="11">
        <f>SUM(G17+(H17/G2)+(E11/G2))</f>
        <v>598.7654321</v>
      </c>
    </row>
    <row r="9">
      <c r="A9" s="12" t="s">
        <v>11</v>
      </c>
      <c r="B9" s="13">
        <f>B7+B8</f>
        <v>598.7654321</v>
      </c>
    </row>
    <row r="10">
      <c r="A10" s="14" t="s">
        <v>12</v>
      </c>
      <c r="B10" s="15">
        <f>B9*0.15</f>
        <v>89.81481481</v>
      </c>
    </row>
    <row r="11">
      <c r="A11" s="14" t="s">
        <v>13</v>
      </c>
      <c r="B11" s="16"/>
      <c r="C11" s="14" t="s">
        <v>14</v>
      </c>
      <c r="D11" s="14"/>
      <c r="E11" s="16">
        <f>B11*D11</f>
        <v>0</v>
      </c>
    </row>
    <row r="12">
      <c r="A12" s="14" t="s">
        <v>15</v>
      </c>
      <c r="B12" s="15">
        <v>10290.0</v>
      </c>
    </row>
    <row r="13">
      <c r="A13" s="12" t="s">
        <v>16</v>
      </c>
      <c r="B13" s="40">
        <v>11290.0</v>
      </c>
    </row>
    <row r="15">
      <c r="A15" s="12" t="s">
        <v>17</v>
      </c>
      <c r="B15" s="13">
        <f>B13-B9</f>
        <v>10691.23457</v>
      </c>
    </row>
    <row r="17">
      <c r="G17" s="17">
        <f t="shared" ref="G17:H17" si="1">SUM(G19:G34)</f>
        <v>500</v>
      </c>
      <c r="H17" s="18">
        <f t="shared" si="1"/>
        <v>4000</v>
      </c>
    </row>
    <row r="18">
      <c r="A18" s="19" t="s">
        <v>18</v>
      </c>
      <c r="B18" s="20"/>
      <c r="C18" s="20"/>
      <c r="D18" s="20"/>
      <c r="E18" s="20"/>
      <c r="F18" s="21"/>
      <c r="G18" s="22" t="s">
        <v>19</v>
      </c>
      <c r="H18" s="22" t="s">
        <v>20</v>
      </c>
    </row>
    <row r="19">
      <c r="A19" s="23" t="s">
        <v>21</v>
      </c>
      <c r="G19" s="24"/>
      <c r="H19" s="48">
        <v>4000.0</v>
      </c>
    </row>
    <row r="20">
      <c r="A20" s="26" t="s">
        <v>22</v>
      </c>
      <c r="G20" s="24">
        <v>500.0</v>
      </c>
      <c r="H20" s="25"/>
    </row>
    <row r="21">
      <c r="G21" s="24"/>
      <c r="H21" s="25"/>
    </row>
    <row r="22">
      <c r="G22" s="24"/>
      <c r="H22" s="25"/>
    </row>
    <row r="23">
      <c r="G23" s="24"/>
      <c r="H23" s="25"/>
    </row>
    <row r="24">
      <c r="G24" s="24"/>
      <c r="H24" s="25"/>
    </row>
    <row r="25">
      <c r="G25" s="24"/>
      <c r="H25" s="25"/>
    </row>
    <row r="26">
      <c r="G26" s="24"/>
      <c r="H26" s="25"/>
    </row>
    <row r="27">
      <c r="G27" s="24"/>
      <c r="H27" s="25"/>
    </row>
    <row r="28">
      <c r="G28" s="24"/>
      <c r="H28" s="25"/>
    </row>
    <row r="29">
      <c r="G29" s="24"/>
      <c r="H29" s="25"/>
    </row>
    <row r="30">
      <c r="G30" s="24"/>
      <c r="H30" s="25"/>
    </row>
    <row r="31">
      <c r="G31" s="24"/>
      <c r="H31" s="25"/>
    </row>
    <row r="32">
      <c r="G32" s="24"/>
      <c r="H32" s="25"/>
    </row>
    <row r="33">
      <c r="G33" s="24"/>
      <c r="H33" s="25"/>
    </row>
    <row r="34">
      <c r="A34" s="27"/>
      <c r="B34" s="28"/>
      <c r="C34" s="28"/>
      <c r="D34" s="28"/>
      <c r="E34" s="28"/>
      <c r="F34" s="28"/>
      <c r="G34" s="29"/>
      <c r="H34" s="30"/>
    </row>
  </sheetData>
  <mergeCells count="24">
    <mergeCell ref="A1:C1"/>
    <mergeCell ref="B3:E3"/>
    <mergeCell ref="F4:G4"/>
    <mergeCell ref="B5:C5"/>
    <mergeCell ref="F5:G5"/>
    <mergeCell ref="F6:G6"/>
    <mergeCell ref="F7:G7"/>
    <mergeCell ref="A18:F18"/>
    <mergeCell ref="A19:F19"/>
    <mergeCell ref="A20:F20"/>
    <mergeCell ref="A21:F21"/>
    <mergeCell ref="A22:F22"/>
    <mergeCell ref="A23:F23"/>
    <mergeCell ref="A24:F24"/>
    <mergeCell ref="A32:F32"/>
    <mergeCell ref="A33:F33"/>
    <mergeCell ref="A34:F34"/>
    <mergeCell ref="A25:F25"/>
    <mergeCell ref="A26:F26"/>
    <mergeCell ref="A27:F27"/>
    <mergeCell ref="A28:F28"/>
    <mergeCell ref="A29:F29"/>
    <mergeCell ref="A30:F30"/>
    <mergeCell ref="A31:F31"/>
  </mergeCells>
  <dataValidations>
    <dataValidation type="list" allowBlank="1" showErrorMessage="1" sqref="F4">
      <formula1>"JORGE,JORGE - PEPE"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5" max="5" width="15.5"/>
  </cols>
  <sheetData>
    <row r="1">
      <c r="A1" s="1" t="s">
        <v>0</v>
      </c>
    </row>
    <row r="2">
      <c r="F2" s="2" t="s">
        <v>1</v>
      </c>
      <c r="G2" s="3">
        <v>40.5</v>
      </c>
    </row>
    <row r="3">
      <c r="A3" s="4" t="s">
        <v>2</v>
      </c>
      <c r="B3" s="33" t="s">
        <v>61</v>
      </c>
      <c r="C3" s="6"/>
      <c r="D3" s="6"/>
      <c r="E3" s="7"/>
    </row>
    <row r="4">
      <c r="A4" s="4" t="s">
        <v>3</v>
      </c>
      <c r="B4" s="36">
        <v>2001.0</v>
      </c>
      <c r="E4" s="4" t="s">
        <v>4</v>
      </c>
      <c r="F4" s="33" t="s">
        <v>24</v>
      </c>
      <c r="G4" s="7"/>
    </row>
    <row r="5">
      <c r="A5" s="4" t="s">
        <v>5</v>
      </c>
      <c r="B5" s="37" t="s">
        <v>62</v>
      </c>
      <c r="C5" s="7"/>
      <c r="E5" s="4" t="s">
        <v>6</v>
      </c>
      <c r="F5" s="38">
        <v>46105.0</v>
      </c>
      <c r="G5" s="7"/>
    </row>
    <row r="6">
      <c r="E6" s="4" t="s">
        <v>7</v>
      </c>
      <c r="F6" s="9"/>
      <c r="G6" s="7"/>
    </row>
    <row r="7">
      <c r="A7" s="10" t="s">
        <v>8</v>
      </c>
      <c r="B7" s="39">
        <v>3000.0</v>
      </c>
      <c r="E7" s="4" t="s">
        <v>9</v>
      </c>
      <c r="F7" s="9"/>
      <c r="G7" s="7"/>
    </row>
    <row r="8">
      <c r="A8" s="10" t="s">
        <v>10</v>
      </c>
      <c r="B8" s="11">
        <f>SUM(G17+(H17/G2)+(E11/G2))</f>
        <v>613.5802469</v>
      </c>
    </row>
    <row r="9">
      <c r="A9" s="12" t="s">
        <v>11</v>
      </c>
      <c r="B9" s="13">
        <f>B7+B8</f>
        <v>3613.580247</v>
      </c>
    </row>
    <row r="10">
      <c r="A10" s="14" t="s">
        <v>12</v>
      </c>
      <c r="B10" s="15">
        <f>B9*0.15</f>
        <v>542.037037</v>
      </c>
    </row>
    <row r="11">
      <c r="A11" s="14" t="s">
        <v>13</v>
      </c>
      <c r="B11" s="16"/>
      <c r="C11" s="14" t="s">
        <v>14</v>
      </c>
      <c r="D11" s="14"/>
      <c r="E11" s="16">
        <f>B11*D11</f>
        <v>0</v>
      </c>
    </row>
    <row r="12">
      <c r="A12" s="14" t="s">
        <v>15</v>
      </c>
      <c r="B12" s="15">
        <v>10290.0</v>
      </c>
    </row>
    <row r="13">
      <c r="A13" s="12" t="s">
        <v>16</v>
      </c>
      <c r="B13" s="40">
        <v>5900.0</v>
      </c>
    </row>
    <row r="15">
      <c r="A15" s="12" t="s">
        <v>17</v>
      </c>
      <c r="B15" s="13">
        <f>B13-B9</f>
        <v>2286.419753</v>
      </c>
    </row>
    <row r="17">
      <c r="G17" s="17">
        <f t="shared" ref="G17:H17" si="1">SUM(G19:G34)</f>
        <v>590</v>
      </c>
      <c r="H17" s="18">
        <f t="shared" si="1"/>
        <v>955</v>
      </c>
    </row>
    <row r="18">
      <c r="A18" s="19" t="s">
        <v>18</v>
      </c>
      <c r="B18" s="20"/>
      <c r="C18" s="20"/>
      <c r="D18" s="20"/>
      <c r="E18" s="20"/>
      <c r="F18" s="21"/>
      <c r="G18" s="22" t="s">
        <v>19</v>
      </c>
      <c r="H18" s="22" t="s">
        <v>20</v>
      </c>
    </row>
    <row r="19">
      <c r="A19" s="23" t="s">
        <v>21</v>
      </c>
      <c r="G19" s="24"/>
      <c r="H19" s="48"/>
    </row>
    <row r="20">
      <c r="A20" s="26" t="s">
        <v>22</v>
      </c>
      <c r="G20" s="24">
        <v>500.0</v>
      </c>
      <c r="H20" s="25"/>
    </row>
    <row r="21">
      <c r="A21" s="42" t="s">
        <v>63</v>
      </c>
      <c r="G21" s="41">
        <v>90.0</v>
      </c>
      <c r="H21" s="25"/>
    </row>
    <row r="22">
      <c r="A22" s="42" t="s">
        <v>64</v>
      </c>
      <c r="G22" s="24"/>
      <c r="H22" s="48">
        <v>955.0</v>
      </c>
    </row>
    <row r="23">
      <c r="G23" s="24"/>
      <c r="H23" s="25"/>
    </row>
    <row r="24">
      <c r="G24" s="24"/>
      <c r="H24" s="25"/>
    </row>
    <row r="25">
      <c r="G25" s="24"/>
      <c r="H25" s="25"/>
    </row>
    <row r="26">
      <c r="G26" s="24"/>
      <c r="H26" s="25"/>
    </row>
    <row r="27">
      <c r="G27" s="24"/>
      <c r="H27" s="25"/>
    </row>
    <row r="28">
      <c r="G28" s="24"/>
      <c r="H28" s="25"/>
    </row>
    <row r="29">
      <c r="G29" s="24"/>
      <c r="H29" s="25"/>
    </row>
    <row r="30">
      <c r="G30" s="24"/>
      <c r="H30" s="25"/>
    </row>
    <row r="31">
      <c r="G31" s="24"/>
      <c r="H31" s="25"/>
    </row>
    <row r="32">
      <c r="G32" s="24"/>
      <c r="H32" s="25"/>
    </row>
    <row r="33">
      <c r="G33" s="24"/>
      <c r="H33" s="25"/>
    </row>
    <row r="34">
      <c r="A34" s="27"/>
      <c r="B34" s="28"/>
      <c r="C34" s="28"/>
      <c r="D34" s="28"/>
      <c r="E34" s="28"/>
      <c r="F34" s="28"/>
      <c r="G34" s="29"/>
      <c r="H34" s="30"/>
    </row>
  </sheetData>
  <mergeCells count="24">
    <mergeCell ref="A1:C1"/>
    <mergeCell ref="B3:E3"/>
    <mergeCell ref="F4:G4"/>
    <mergeCell ref="B5:C5"/>
    <mergeCell ref="F5:G5"/>
    <mergeCell ref="F6:G6"/>
    <mergeCell ref="F7:G7"/>
    <mergeCell ref="A18:F18"/>
    <mergeCell ref="A19:F19"/>
    <mergeCell ref="A20:F20"/>
    <mergeCell ref="A21:F21"/>
    <mergeCell ref="A22:F22"/>
    <mergeCell ref="A23:F23"/>
    <mergeCell ref="A24:F24"/>
    <mergeCell ref="A32:F32"/>
    <mergeCell ref="A33:F33"/>
    <mergeCell ref="A34:F34"/>
    <mergeCell ref="A25:F25"/>
    <mergeCell ref="A26:F26"/>
    <mergeCell ref="A27:F27"/>
    <mergeCell ref="A28:F28"/>
    <mergeCell ref="A29:F29"/>
    <mergeCell ref="A30:F30"/>
    <mergeCell ref="A31:F31"/>
  </mergeCells>
  <dataValidations>
    <dataValidation type="list" allowBlank="1" showErrorMessage="1" sqref="F4">
      <formula1>"JORGE"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5" max="5" width="21.38"/>
  </cols>
  <sheetData>
    <row r="1">
      <c r="A1" s="1" t="s">
        <v>0</v>
      </c>
    </row>
    <row r="2">
      <c r="F2" s="2" t="s">
        <v>1</v>
      </c>
      <c r="G2" s="3">
        <v>40.5</v>
      </c>
    </row>
    <row r="3">
      <c r="A3" s="4" t="s">
        <v>2</v>
      </c>
      <c r="B3" s="5"/>
      <c r="C3" s="6"/>
      <c r="D3" s="6"/>
      <c r="E3" s="7"/>
    </row>
    <row r="4">
      <c r="A4" s="4" t="s">
        <v>3</v>
      </c>
      <c r="B4" s="2"/>
      <c r="E4" s="4" t="s">
        <v>4</v>
      </c>
      <c r="F4" s="5"/>
      <c r="G4" s="7"/>
    </row>
    <row r="5">
      <c r="A5" s="4" t="s">
        <v>5</v>
      </c>
      <c r="B5" s="8"/>
      <c r="C5" s="7"/>
      <c r="E5" s="4" t="s">
        <v>6</v>
      </c>
      <c r="F5" s="9"/>
      <c r="G5" s="7"/>
    </row>
    <row r="6">
      <c r="E6" s="4" t="s">
        <v>7</v>
      </c>
      <c r="F6" s="9"/>
      <c r="G6" s="7"/>
    </row>
    <row r="7">
      <c r="A7" s="10" t="s">
        <v>8</v>
      </c>
      <c r="B7" s="11">
        <v>0.0</v>
      </c>
      <c r="E7" s="4" t="s">
        <v>9</v>
      </c>
      <c r="F7" s="9"/>
      <c r="G7" s="7"/>
    </row>
    <row r="8">
      <c r="A8" s="10" t="s">
        <v>10</v>
      </c>
      <c r="B8" s="11">
        <f>SUM(G17+(H17/G2)+(E11/G2))</f>
        <v>623.4567901</v>
      </c>
    </row>
    <row r="9">
      <c r="A9" s="12" t="s">
        <v>11</v>
      </c>
      <c r="B9" s="13">
        <f>B7+B8</f>
        <v>623.4567901</v>
      </c>
    </row>
    <row r="10">
      <c r="A10" s="14" t="s">
        <v>12</v>
      </c>
      <c r="B10" s="15">
        <f>B9*0.15</f>
        <v>93.51851852</v>
      </c>
    </row>
    <row r="11">
      <c r="A11" s="14" t="s">
        <v>13</v>
      </c>
      <c r="B11" s="16"/>
      <c r="C11" s="14" t="s">
        <v>14</v>
      </c>
      <c r="D11" s="14"/>
      <c r="E11" s="16">
        <f>B11*D11</f>
        <v>0</v>
      </c>
    </row>
    <row r="12">
      <c r="A12" s="14" t="s">
        <v>15</v>
      </c>
      <c r="B12" s="15">
        <v>10290.0</v>
      </c>
    </row>
    <row r="13">
      <c r="A13" s="12" t="s">
        <v>16</v>
      </c>
      <c r="B13" s="13">
        <v>0.0</v>
      </c>
    </row>
    <row r="15">
      <c r="A15" s="12" t="s">
        <v>17</v>
      </c>
      <c r="B15" s="13">
        <f>B13-B9</f>
        <v>-623.4567901</v>
      </c>
    </row>
    <row r="17">
      <c r="G17" s="17">
        <f t="shared" ref="G17:H17" si="1">SUM(G19:G34)</f>
        <v>500</v>
      </c>
      <c r="H17" s="18">
        <f t="shared" si="1"/>
        <v>5000</v>
      </c>
    </row>
    <row r="18">
      <c r="A18" s="19" t="s">
        <v>18</v>
      </c>
      <c r="B18" s="20"/>
      <c r="C18" s="20"/>
      <c r="D18" s="20"/>
      <c r="E18" s="20"/>
      <c r="F18" s="21"/>
      <c r="G18" s="22" t="s">
        <v>19</v>
      </c>
      <c r="H18" s="22" t="s">
        <v>20</v>
      </c>
    </row>
    <row r="19">
      <c r="A19" s="23" t="s">
        <v>21</v>
      </c>
      <c r="G19" s="24"/>
      <c r="H19" s="25">
        <v>5000.0</v>
      </c>
    </row>
    <row r="20">
      <c r="A20" s="26" t="s">
        <v>22</v>
      </c>
      <c r="G20" s="24">
        <v>500.0</v>
      </c>
      <c r="H20" s="25"/>
    </row>
    <row r="21">
      <c r="G21" s="24"/>
      <c r="H21" s="25"/>
    </row>
    <row r="22">
      <c r="G22" s="24"/>
      <c r="H22" s="25"/>
    </row>
    <row r="23">
      <c r="G23" s="24"/>
      <c r="H23" s="25"/>
    </row>
    <row r="24">
      <c r="G24" s="24"/>
      <c r="H24" s="25"/>
    </row>
    <row r="25">
      <c r="G25" s="24"/>
      <c r="H25" s="25"/>
    </row>
    <row r="26">
      <c r="G26" s="24"/>
      <c r="H26" s="25"/>
    </row>
    <row r="27">
      <c r="G27" s="24"/>
      <c r="H27" s="25"/>
    </row>
    <row r="28">
      <c r="G28" s="24"/>
      <c r="H28" s="25"/>
    </row>
    <row r="29">
      <c r="G29" s="24"/>
      <c r="H29" s="25"/>
    </row>
    <row r="30">
      <c r="G30" s="24"/>
      <c r="H30" s="25"/>
    </row>
    <row r="31">
      <c r="G31" s="24"/>
      <c r="H31" s="25"/>
    </row>
    <row r="32">
      <c r="G32" s="24"/>
      <c r="H32" s="25"/>
    </row>
    <row r="33">
      <c r="G33" s="24"/>
      <c r="H33" s="25"/>
    </row>
    <row r="34">
      <c r="A34" s="27"/>
      <c r="B34" s="28"/>
      <c r="C34" s="28"/>
      <c r="D34" s="28"/>
      <c r="E34" s="28"/>
      <c r="F34" s="28"/>
      <c r="G34" s="29"/>
      <c r="H34" s="30"/>
    </row>
  </sheetData>
  <mergeCells count="24">
    <mergeCell ref="A1:C1"/>
    <mergeCell ref="B3:E3"/>
    <mergeCell ref="F4:G4"/>
    <mergeCell ref="B5:C5"/>
    <mergeCell ref="F5:G5"/>
    <mergeCell ref="F6:G6"/>
    <mergeCell ref="F7:G7"/>
    <mergeCell ref="A18:F18"/>
    <mergeCell ref="A19:F19"/>
    <mergeCell ref="A20:F20"/>
    <mergeCell ref="A21:F21"/>
    <mergeCell ref="A22:F22"/>
    <mergeCell ref="A23:F23"/>
    <mergeCell ref="A24:F24"/>
    <mergeCell ref="A32:F32"/>
    <mergeCell ref="A33:F33"/>
    <mergeCell ref="A34:F34"/>
    <mergeCell ref="A25:F25"/>
    <mergeCell ref="A26:F26"/>
    <mergeCell ref="A27:F27"/>
    <mergeCell ref="A28:F28"/>
    <mergeCell ref="A29:F29"/>
    <mergeCell ref="A30:F30"/>
    <mergeCell ref="A31:F31"/>
  </mergeCells>
  <dataValidations>
    <dataValidation type="list" allowBlank="1" showErrorMessage="1" sqref="F4">
      <formula1>"JORGE"</formula1>
    </dataValidation>
  </dataValidations>
  <drawing r:id="rId1"/>
</worksheet>
</file>